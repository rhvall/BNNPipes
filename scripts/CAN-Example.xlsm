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hvt/Dev/BNN-Pipes/scripts/"/>
    </mc:Choice>
  </mc:AlternateContent>
  <xr:revisionPtr revIDLastSave="0" documentId="13_ncr:1_{DCC28C61-6A07-454F-9807-C4EE617CA5D0}" xr6:coauthVersionLast="37" xr6:coauthVersionMax="37" xr10:uidLastSave="{00000000-0000-0000-0000-000000000000}"/>
  <bookViews>
    <workbookView xWindow="-38400" yWindow="2400" windowWidth="38400" windowHeight="21600" activeTab="2" xr2:uid="{00000000-000D-0000-FFFF-FFFF00000000}"/>
  </bookViews>
  <sheets>
    <sheet name="XOR-Example" sheetId="1" r:id="rId1"/>
    <sheet name="Example-2" sheetId="2" r:id="rId2"/>
    <sheet name="Example-3" sheetId="3" r:id="rId3"/>
    <sheet name="PatternData" sheetId="4" r:id="rId4"/>
    <sheet name="Extras" sheetId="5" r:id="rId5"/>
    <sheet name="Example-InProgress" sheetId="6" r:id="rId6"/>
  </sheets>
  <functionGroups builtInGroupCount="19"/>
  <definedNames>
    <definedName name="_xlnm._FilterDatabase" localSheetId="2" hidden="1">'Example-3'!$B$1:$X$31</definedName>
    <definedName name="_xlnm._FilterDatabase" localSheetId="4" hidden="1">Extras!$O$3:$P$7</definedName>
  </definedNames>
  <calcPr calcId="179021"/>
</workbook>
</file>

<file path=xl/calcChain.xml><?xml version="1.0" encoding="utf-8"?>
<calcChain xmlns="http://schemas.openxmlformats.org/spreadsheetml/2006/main">
  <c r="T105" i="3" l="1"/>
  <c r="T104" i="3"/>
  <c r="T103" i="3"/>
  <c r="T102" i="3"/>
  <c r="T101" i="3"/>
  <c r="T100" i="3"/>
  <c r="T99" i="3"/>
  <c r="T98" i="3"/>
  <c r="V91" i="3"/>
  <c r="U91" i="3"/>
  <c r="T91" i="3"/>
  <c r="S91" i="3"/>
  <c r="P91" i="3"/>
  <c r="S90" i="3"/>
  <c r="Q90" i="3"/>
  <c r="Q89" i="3"/>
  <c r="P89" i="3"/>
  <c r="P88" i="3"/>
  <c r="O94" i="3"/>
  <c r="O93" i="3"/>
  <c r="O92" i="3"/>
  <c r="O91" i="3"/>
  <c r="O90" i="3"/>
  <c r="O89" i="3"/>
  <c r="O88" i="3"/>
  <c r="V95" i="3"/>
  <c r="U95" i="3"/>
  <c r="T95" i="3"/>
  <c r="S95" i="3"/>
  <c r="R95" i="3"/>
  <c r="Q95" i="3"/>
  <c r="P95" i="3"/>
  <c r="O95" i="3"/>
  <c r="V94" i="3"/>
  <c r="U94" i="3"/>
  <c r="T94" i="3"/>
  <c r="S94" i="3"/>
  <c r="R94" i="3"/>
  <c r="Q94" i="3"/>
  <c r="P94" i="3"/>
  <c r="V93" i="3"/>
  <c r="U93" i="3"/>
  <c r="T93" i="3"/>
  <c r="S93" i="3"/>
  <c r="R93" i="3"/>
  <c r="Q93" i="3"/>
  <c r="P93" i="3"/>
  <c r="V92" i="3"/>
  <c r="U92" i="3"/>
  <c r="T92" i="3"/>
  <c r="S92" i="3"/>
  <c r="R92" i="3"/>
  <c r="Q92" i="3"/>
  <c r="P92" i="3"/>
  <c r="R91" i="3"/>
  <c r="Q91" i="3"/>
  <c r="V90" i="3"/>
  <c r="U90" i="3"/>
  <c r="T90" i="3"/>
  <c r="R90" i="3"/>
  <c r="P90" i="3"/>
  <c r="V89" i="3"/>
  <c r="U89" i="3"/>
  <c r="T89" i="3"/>
  <c r="S89" i="3"/>
  <c r="R89" i="3"/>
  <c r="V88" i="3"/>
  <c r="U88" i="3"/>
  <c r="T88" i="3"/>
  <c r="S88" i="3"/>
  <c r="R88" i="3"/>
  <c r="Q88" i="3"/>
  <c r="Z85" i="3"/>
  <c r="Z84" i="3"/>
  <c r="Z83" i="3"/>
  <c r="Z82" i="3"/>
  <c r="Z81" i="3"/>
  <c r="Z80" i="3"/>
  <c r="Z79" i="3"/>
  <c r="Z78" i="3"/>
  <c r="X85" i="3"/>
  <c r="X84" i="3"/>
  <c r="X83" i="3"/>
  <c r="X82" i="3"/>
  <c r="X81" i="3"/>
  <c r="X80" i="3"/>
  <c r="X79" i="3"/>
  <c r="X78" i="3"/>
  <c r="L95" i="3"/>
  <c r="L94" i="3"/>
  <c r="L93" i="3"/>
  <c r="L92" i="3"/>
  <c r="L91" i="3"/>
  <c r="L90" i="3"/>
  <c r="L89" i="3"/>
  <c r="L88" i="3"/>
  <c r="O56" i="3"/>
  <c r="AG67" i="3" a="1"/>
  <c r="AG67" i="3" s="1"/>
  <c r="AH67" i="3" s="1"/>
  <c r="AO64" i="3"/>
  <c r="AN64" i="3"/>
  <c r="AM64" i="3"/>
  <c r="AL64" i="3"/>
  <c r="AF67" i="3" a="1"/>
  <c r="AF67" i="3" s="1"/>
  <c r="N76" i="3"/>
  <c r="C95" i="3"/>
  <c r="C90" i="3"/>
  <c r="C94" i="3"/>
  <c r="C93" i="3"/>
  <c r="C88" i="3"/>
  <c r="C92" i="3"/>
  <c r="C91" i="3"/>
  <c r="C89" i="3"/>
  <c r="AI67" i="3"/>
  <c r="AG69" i="3" l="1"/>
  <c r="AH69" i="3" s="1"/>
  <c r="AG71" i="3"/>
  <c r="AH71" i="3" s="1"/>
  <c r="AG68" i="3"/>
  <c r="AH68" i="3" s="1"/>
  <c r="AG74" i="3"/>
  <c r="AH74" i="3" s="1"/>
  <c r="AG73" i="3"/>
  <c r="AH73" i="3" s="1"/>
  <c r="AG72" i="3"/>
  <c r="AH72" i="3" s="1"/>
  <c r="AG70" i="3"/>
  <c r="AH70" i="3" s="1"/>
  <c r="AJ67" i="3"/>
  <c r="AP67" i="3"/>
  <c r="AQ67" i="3"/>
  <c r="AK67" i="3"/>
  <c r="AL67" i="3"/>
  <c r="AM67" i="3"/>
  <c r="AN67" i="3"/>
  <c r="AO67" i="3"/>
  <c r="AF74" i="3"/>
  <c r="AF73" i="3"/>
  <c r="AF68" i="3"/>
  <c r="AF72" i="3"/>
  <c r="AF71" i="3"/>
  <c r="AF70" i="3"/>
  <c r="AF69" i="3"/>
  <c r="D310" i="6"/>
  <c r="C310" i="6"/>
  <c r="B310" i="6"/>
  <c r="D309" i="6"/>
  <c r="C309" i="6"/>
  <c r="B309" i="6"/>
  <c r="D295" i="6"/>
  <c r="C295" i="6"/>
  <c r="B295" i="6"/>
  <c r="D294" i="6"/>
  <c r="C294" i="6"/>
  <c r="B294" i="6"/>
  <c r="D280" i="6"/>
  <c r="C280" i="6"/>
  <c r="B280" i="6"/>
  <c r="D279" i="6"/>
  <c r="C279" i="6"/>
  <c r="B279" i="6"/>
  <c r="D265" i="6"/>
  <c r="C265" i="6"/>
  <c r="B265" i="6"/>
  <c r="D264" i="6"/>
  <c r="C264" i="6"/>
  <c r="B264" i="6"/>
  <c r="D250" i="6"/>
  <c r="C250" i="6"/>
  <c r="B250" i="6"/>
  <c r="D249" i="6"/>
  <c r="C249" i="6"/>
  <c r="B249" i="6"/>
  <c r="D235" i="6"/>
  <c r="C235" i="6"/>
  <c r="B235" i="6"/>
  <c r="D234" i="6"/>
  <c r="C234" i="6"/>
  <c r="B234" i="6"/>
  <c r="D220" i="6"/>
  <c r="C220" i="6"/>
  <c r="B220" i="6"/>
  <c r="D219" i="6"/>
  <c r="C219" i="6"/>
  <c r="B219" i="6"/>
  <c r="D205" i="6"/>
  <c r="C205" i="6"/>
  <c r="B205" i="6"/>
  <c r="D204" i="6"/>
  <c r="C204" i="6"/>
  <c r="B204" i="6"/>
  <c r="D190" i="6"/>
  <c r="C190" i="6"/>
  <c r="B190" i="6"/>
  <c r="D189" i="6"/>
  <c r="C189" i="6"/>
  <c r="B189" i="6"/>
  <c r="D175" i="6"/>
  <c r="C175" i="6"/>
  <c r="B175" i="6"/>
  <c r="D174" i="6"/>
  <c r="C174" i="6"/>
  <c r="B174" i="6"/>
  <c r="D160" i="6"/>
  <c r="C160" i="6"/>
  <c r="B160" i="6"/>
  <c r="D159" i="6"/>
  <c r="C159" i="6"/>
  <c r="B159" i="6"/>
  <c r="D145" i="6"/>
  <c r="C145" i="6"/>
  <c r="B145" i="6"/>
  <c r="D144" i="6"/>
  <c r="C144" i="6"/>
  <c r="B144" i="6"/>
  <c r="D130" i="6"/>
  <c r="C130" i="6"/>
  <c r="B130" i="6"/>
  <c r="D129" i="6"/>
  <c r="C129" i="6"/>
  <c r="B129" i="6"/>
  <c r="D115" i="6"/>
  <c r="C115" i="6"/>
  <c r="B115" i="6"/>
  <c r="D114" i="6"/>
  <c r="C114" i="6"/>
  <c r="B114" i="6"/>
  <c r="D100" i="6"/>
  <c r="C100" i="6"/>
  <c r="B100" i="6"/>
  <c r="D99" i="6"/>
  <c r="C99" i="6"/>
  <c r="B99" i="6"/>
  <c r="D85" i="6"/>
  <c r="C85" i="6"/>
  <c r="B85" i="6"/>
  <c r="D84" i="6"/>
  <c r="C84" i="6"/>
  <c r="B84" i="6"/>
  <c r="D70" i="6"/>
  <c r="C70" i="6"/>
  <c r="B70" i="6"/>
  <c r="D69" i="6"/>
  <c r="C69" i="6"/>
  <c r="B69" i="6"/>
  <c r="D56" i="6"/>
  <c r="C56" i="6"/>
  <c r="B56" i="6"/>
  <c r="D55" i="6"/>
  <c r="C55" i="6"/>
  <c r="B55" i="6"/>
  <c r="D44" i="6"/>
  <c r="C44" i="6"/>
  <c r="B44" i="6"/>
  <c r="D43" i="6"/>
  <c r="C43" i="6"/>
  <c r="B43" i="6"/>
  <c r="D32" i="6"/>
  <c r="C32" i="6"/>
  <c r="B32" i="6"/>
  <c r="D31" i="6"/>
  <c r="C31" i="6"/>
  <c r="B31" i="6"/>
  <c r="D20" i="6"/>
  <c r="C20" i="6"/>
  <c r="B20" i="6"/>
  <c r="D19" i="6"/>
  <c r="C19" i="6"/>
  <c r="B19" i="6"/>
  <c r="I76" i="4"/>
  <c r="H76" i="4"/>
  <c r="G76" i="4"/>
  <c r="F76" i="4"/>
  <c r="E76" i="4"/>
  <c r="D76" i="4"/>
  <c r="C76" i="4"/>
  <c r="B76" i="4"/>
  <c r="I75" i="4"/>
  <c r="H75" i="4"/>
  <c r="G75" i="4"/>
  <c r="F75" i="4"/>
  <c r="E75" i="4"/>
  <c r="D75" i="4"/>
  <c r="C75" i="4"/>
  <c r="B75" i="4"/>
  <c r="I74" i="4"/>
  <c r="H74" i="4"/>
  <c r="G74" i="4"/>
  <c r="F74" i="4"/>
  <c r="E74" i="4"/>
  <c r="D74" i="4"/>
  <c r="C74" i="4"/>
  <c r="B74" i="4"/>
  <c r="I73" i="4"/>
  <c r="H73" i="4"/>
  <c r="G73" i="4"/>
  <c r="F73" i="4"/>
  <c r="E73" i="4"/>
  <c r="D73" i="4"/>
  <c r="C73" i="4"/>
  <c r="B73" i="4"/>
  <c r="I72" i="4"/>
  <c r="H72" i="4"/>
  <c r="G72" i="4"/>
  <c r="F72" i="4"/>
  <c r="E72" i="4"/>
  <c r="D72" i="4"/>
  <c r="C72" i="4"/>
  <c r="B72" i="4"/>
  <c r="I71" i="4"/>
  <c r="H71" i="4"/>
  <c r="G71" i="4"/>
  <c r="F71" i="4"/>
  <c r="E71" i="4"/>
  <c r="D71" i="4"/>
  <c r="C71" i="4"/>
  <c r="B71" i="4"/>
  <c r="I70" i="4"/>
  <c r="H70" i="4"/>
  <c r="G70" i="4"/>
  <c r="F70" i="4"/>
  <c r="E70" i="4"/>
  <c r="D70" i="4"/>
  <c r="C70" i="4"/>
  <c r="B70" i="4"/>
  <c r="I69" i="4"/>
  <c r="H69" i="4"/>
  <c r="G69" i="4"/>
  <c r="F69" i="4"/>
  <c r="E69" i="4"/>
  <c r="D69" i="4"/>
  <c r="C69" i="4"/>
  <c r="B69" i="4"/>
  <c r="J63" i="3"/>
  <c r="H63" i="3"/>
  <c r="G63" i="3"/>
  <c r="F63" i="3"/>
  <c r="E63" i="3"/>
  <c r="D63" i="3"/>
  <c r="C63" i="3"/>
  <c r="J62" i="3"/>
  <c r="H62" i="3"/>
  <c r="G62" i="3"/>
  <c r="F62" i="3"/>
  <c r="E62" i="3"/>
  <c r="D62" i="3"/>
  <c r="C62" i="3"/>
  <c r="J61" i="3"/>
  <c r="H61" i="3"/>
  <c r="G61" i="3"/>
  <c r="F61" i="3"/>
  <c r="E61" i="3"/>
  <c r="D61" i="3"/>
  <c r="C61" i="3"/>
  <c r="J60" i="3"/>
  <c r="H60" i="3"/>
  <c r="G60" i="3"/>
  <c r="F60" i="3"/>
  <c r="E60" i="3"/>
  <c r="D60" i="3"/>
  <c r="C60" i="3"/>
  <c r="J59" i="3"/>
  <c r="H59" i="3"/>
  <c r="G59" i="3"/>
  <c r="F59" i="3"/>
  <c r="E59" i="3"/>
  <c r="D59" i="3"/>
  <c r="C59" i="3"/>
  <c r="J58" i="3"/>
  <c r="H58" i="3"/>
  <c r="G58" i="3"/>
  <c r="F58" i="3"/>
  <c r="E58" i="3"/>
  <c r="D58" i="3"/>
  <c r="C58" i="3"/>
  <c r="J57" i="3"/>
  <c r="H57" i="3"/>
  <c r="G57" i="3"/>
  <c r="F57" i="3"/>
  <c r="E57" i="3"/>
  <c r="D57" i="3"/>
  <c r="C57" i="3"/>
  <c r="J56" i="3"/>
  <c r="H56" i="3"/>
  <c r="G56" i="3"/>
  <c r="F56" i="3"/>
  <c r="E56" i="3"/>
  <c r="D56" i="3"/>
  <c r="C56" i="3"/>
  <c r="J31" i="3"/>
  <c r="I31" i="3"/>
  <c r="H31" i="3"/>
  <c r="G31" i="3"/>
  <c r="F31" i="3"/>
  <c r="E31" i="3"/>
  <c r="D31" i="3"/>
  <c r="C31" i="3"/>
  <c r="J30" i="3"/>
  <c r="I30" i="3"/>
  <c r="H30" i="3"/>
  <c r="G30" i="3"/>
  <c r="F30" i="3"/>
  <c r="E30" i="3"/>
  <c r="D30" i="3"/>
  <c r="C30" i="3"/>
  <c r="J29" i="3"/>
  <c r="I29" i="3"/>
  <c r="H29" i="3"/>
  <c r="G29" i="3"/>
  <c r="F29" i="3"/>
  <c r="E29" i="3"/>
  <c r="D29" i="3"/>
  <c r="C29" i="3"/>
  <c r="J28" i="3"/>
  <c r="I28" i="3"/>
  <c r="H28" i="3"/>
  <c r="G28" i="3"/>
  <c r="F28" i="3"/>
  <c r="E28" i="3"/>
  <c r="D28" i="3"/>
  <c r="C28" i="3"/>
  <c r="J27" i="3"/>
  <c r="I27" i="3"/>
  <c r="H27" i="3"/>
  <c r="G27" i="3"/>
  <c r="F27" i="3"/>
  <c r="E27" i="3"/>
  <c r="D27" i="3"/>
  <c r="C27" i="3"/>
  <c r="J26" i="3"/>
  <c r="I26" i="3"/>
  <c r="H26" i="3"/>
  <c r="G26" i="3"/>
  <c r="F26" i="3"/>
  <c r="E26" i="3"/>
  <c r="D26" i="3"/>
  <c r="C26" i="3"/>
  <c r="J25" i="3"/>
  <c r="I25" i="3"/>
  <c r="H25" i="3"/>
  <c r="G25" i="3"/>
  <c r="F25" i="3"/>
  <c r="E25" i="3"/>
  <c r="D25" i="3"/>
  <c r="C25" i="3"/>
  <c r="J24" i="3"/>
  <c r="I24" i="3"/>
  <c r="H24" i="3"/>
  <c r="G24" i="3"/>
  <c r="F24" i="3"/>
  <c r="E24" i="3"/>
  <c r="D24" i="3"/>
  <c r="C24" i="3"/>
  <c r="D283" i="2"/>
  <c r="C283" i="2"/>
  <c r="B283" i="2"/>
  <c r="D282" i="2"/>
  <c r="C282" i="2"/>
  <c r="B282" i="2"/>
  <c r="D281" i="2"/>
  <c r="C281" i="2"/>
  <c r="B281" i="2"/>
  <c r="D269" i="2"/>
  <c r="C269" i="2"/>
  <c r="B269" i="2"/>
  <c r="D268" i="2"/>
  <c r="C268" i="2"/>
  <c r="B268" i="2"/>
  <c r="D267" i="2"/>
  <c r="C267" i="2"/>
  <c r="B267" i="2"/>
  <c r="C255" i="2"/>
  <c r="B255" i="2"/>
  <c r="C254" i="2"/>
  <c r="B254" i="2"/>
  <c r="C253" i="2"/>
  <c r="B253" i="2"/>
  <c r="D241" i="2"/>
  <c r="C241" i="2"/>
  <c r="B241" i="2"/>
  <c r="D240" i="2"/>
  <c r="C240" i="2"/>
  <c r="B240" i="2"/>
  <c r="D239" i="2"/>
  <c r="C239" i="2"/>
  <c r="B239" i="2"/>
  <c r="D227" i="2"/>
  <c r="C227" i="2"/>
  <c r="B227" i="2"/>
  <c r="D226" i="2"/>
  <c r="C226" i="2"/>
  <c r="B226" i="2"/>
  <c r="D225" i="2"/>
  <c r="C225" i="2"/>
  <c r="B225" i="2"/>
  <c r="D213" i="2"/>
  <c r="C213" i="2"/>
  <c r="B213" i="2"/>
  <c r="D212" i="2"/>
  <c r="C212" i="2"/>
  <c r="B212" i="2"/>
  <c r="D211" i="2"/>
  <c r="C211" i="2"/>
  <c r="B211" i="2"/>
  <c r="D199" i="2"/>
  <c r="C199" i="2"/>
  <c r="B199" i="2"/>
  <c r="D198" i="2"/>
  <c r="C198" i="2"/>
  <c r="B198" i="2"/>
  <c r="D197" i="2"/>
  <c r="C197" i="2"/>
  <c r="B197" i="2"/>
  <c r="D185" i="2"/>
  <c r="C185" i="2"/>
  <c r="B185" i="2"/>
  <c r="D184" i="2"/>
  <c r="C184" i="2"/>
  <c r="B184" i="2"/>
  <c r="D183" i="2"/>
  <c r="C183" i="2"/>
  <c r="B183" i="2"/>
  <c r="D171" i="2"/>
  <c r="C171" i="2"/>
  <c r="B171" i="2"/>
  <c r="D170" i="2"/>
  <c r="B170" i="2"/>
  <c r="D169" i="2"/>
  <c r="C169" i="2"/>
  <c r="B169" i="2"/>
  <c r="D157" i="2"/>
  <c r="C157" i="2"/>
  <c r="B157" i="2"/>
  <c r="D156" i="2"/>
  <c r="C156" i="2"/>
  <c r="B156" i="2"/>
  <c r="D155" i="2"/>
  <c r="C155" i="2"/>
  <c r="B155" i="2"/>
  <c r="D143" i="2"/>
  <c r="C143" i="2"/>
  <c r="B143" i="2"/>
  <c r="D142" i="2"/>
  <c r="C142" i="2"/>
  <c r="B142" i="2"/>
  <c r="D141" i="2"/>
  <c r="C141" i="2"/>
  <c r="B141" i="2"/>
  <c r="D129" i="2"/>
  <c r="C129" i="2"/>
  <c r="B129" i="2"/>
  <c r="D128" i="2"/>
  <c r="C128" i="2"/>
  <c r="B128" i="2"/>
  <c r="D127" i="2"/>
  <c r="C127" i="2"/>
  <c r="B127" i="2"/>
  <c r="D115" i="2"/>
  <c r="C115" i="2"/>
  <c r="B115" i="2"/>
  <c r="D114" i="2"/>
  <c r="C114" i="2"/>
  <c r="B114" i="2"/>
  <c r="D113" i="2"/>
  <c r="C113" i="2"/>
  <c r="B113" i="2"/>
  <c r="D101" i="2"/>
  <c r="C101" i="2"/>
  <c r="B101" i="2"/>
  <c r="D100" i="2"/>
  <c r="C100" i="2"/>
  <c r="B100" i="2"/>
  <c r="D99" i="2"/>
  <c r="C99" i="2"/>
  <c r="B99" i="2"/>
  <c r="D87" i="2"/>
  <c r="C87" i="2"/>
  <c r="D86" i="2"/>
  <c r="C86" i="2"/>
  <c r="D85" i="2"/>
  <c r="C85" i="2"/>
  <c r="D73" i="2"/>
  <c r="C73" i="2"/>
  <c r="B73" i="2"/>
  <c r="D72" i="2"/>
  <c r="C72" i="2"/>
  <c r="B72" i="2"/>
  <c r="D71" i="2"/>
  <c r="C71" i="2"/>
  <c r="B71" i="2"/>
  <c r="AD62" i="2"/>
  <c r="AC62" i="2"/>
  <c r="AB62" i="2"/>
  <c r="AD61" i="2"/>
  <c r="AC61" i="2"/>
  <c r="AB61" i="2"/>
  <c r="D61" i="2"/>
  <c r="C61" i="2"/>
  <c r="B61" i="2"/>
  <c r="D60" i="2"/>
  <c r="C60" i="2"/>
  <c r="B60" i="2"/>
  <c r="D59" i="2"/>
  <c r="C59" i="2"/>
  <c r="B59" i="2"/>
  <c r="D49" i="2"/>
  <c r="C49" i="2"/>
  <c r="B49" i="2"/>
  <c r="D48" i="2"/>
  <c r="C48" i="2"/>
  <c r="B48" i="2"/>
  <c r="D47" i="2"/>
  <c r="C47" i="2"/>
  <c r="B47" i="2"/>
  <c r="D39" i="2"/>
  <c r="C39" i="2"/>
  <c r="B39" i="2"/>
  <c r="D38" i="2"/>
  <c r="C38" i="2"/>
  <c r="B38" i="2"/>
  <c r="D37" i="2"/>
  <c r="C37" i="2"/>
  <c r="B37" i="2"/>
  <c r="D29" i="2"/>
  <c r="C29" i="2"/>
  <c r="B29" i="2"/>
  <c r="D28" i="2"/>
  <c r="C28" i="2"/>
  <c r="B28" i="2"/>
  <c r="D27" i="2"/>
  <c r="C27" i="2"/>
  <c r="B27" i="2"/>
  <c r="D19" i="2"/>
  <c r="C19" i="2"/>
  <c r="B19" i="2"/>
  <c r="D18" i="2"/>
  <c r="C18" i="2"/>
  <c r="B18" i="2"/>
  <c r="D17" i="2"/>
  <c r="C17" i="2"/>
  <c r="B17" i="2"/>
  <c r="C57" i="1"/>
  <c r="B57" i="1"/>
  <c r="C56" i="1"/>
  <c r="B56" i="1"/>
  <c r="C49" i="1"/>
  <c r="B49" i="1"/>
  <c r="C48" i="1"/>
  <c r="B48" i="1"/>
  <c r="C41" i="1"/>
  <c r="B41" i="1"/>
  <c r="C40" i="1"/>
  <c r="B40" i="1"/>
  <c r="C33" i="1"/>
  <c r="B33" i="1"/>
  <c r="C32" i="1"/>
  <c r="B32" i="1"/>
  <c r="C25" i="1"/>
  <c r="B25" i="1"/>
  <c r="C24" i="1"/>
  <c r="B24" i="1"/>
  <c r="C17" i="1"/>
  <c r="B17" i="1"/>
  <c r="C16" i="1"/>
  <c r="B16" i="1"/>
  <c r="AI69" i="3"/>
  <c r="AI71" i="3"/>
  <c r="AI68" i="3"/>
  <c r="AI74" i="3"/>
  <c r="AI73" i="3"/>
  <c r="AI70" i="3"/>
  <c r="AI72" i="3"/>
  <c r="AJ72" i="3" l="1"/>
  <c r="AL72" i="3"/>
  <c r="AO72" i="3"/>
  <c r="AQ72" i="3"/>
  <c r="AP72" i="3"/>
  <c r="AM72" i="3"/>
  <c r="AK72" i="3"/>
  <c r="AN72" i="3"/>
  <c r="AJ70" i="3"/>
  <c r="AO70" i="3"/>
  <c r="AM70" i="3"/>
  <c r="AK70" i="3"/>
  <c r="AQ70" i="3"/>
  <c r="AN70" i="3"/>
  <c r="AL70" i="3"/>
  <c r="AP70" i="3"/>
  <c r="AJ73" i="3"/>
  <c r="AQ73" i="3"/>
  <c r="AK73" i="3"/>
  <c r="AP73" i="3"/>
  <c r="AL73" i="3"/>
  <c r="AN73" i="3"/>
  <c r="AO73" i="3"/>
  <c r="AM73" i="3"/>
  <c r="AJ74" i="3"/>
  <c r="AN74" i="3"/>
  <c r="AO74" i="3"/>
  <c r="AQ74" i="3"/>
  <c r="AK74" i="3"/>
  <c r="AL74" i="3"/>
  <c r="AP74" i="3"/>
  <c r="AM74" i="3"/>
  <c r="AJ68" i="3"/>
  <c r="AK68" i="3"/>
  <c r="AL68" i="3"/>
  <c r="AO68" i="3"/>
  <c r="AM68" i="3"/>
  <c r="AP68" i="3"/>
  <c r="AQ68" i="3"/>
  <c r="AN68" i="3"/>
  <c r="AJ71" i="3"/>
  <c r="AO71" i="3"/>
  <c r="AN71" i="3"/>
  <c r="AP71" i="3"/>
  <c r="AK71" i="3"/>
  <c r="AQ71" i="3"/>
  <c r="AL71" i="3"/>
  <c r="AM71" i="3"/>
  <c r="AJ69" i="3"/>
  <c r="AM69" i="3"/>
  <c r="AP69" i="3"/>
  <c r="AO69" i="3"/>
  <c r="AK69" i="3"/>
  <c r="AL69" i="3"/>
  <c r="AN69" i="3"/>
  <c r="AQ69" i="3"/>
  <c r="G53" i="3"/>
  <c r="G52" i="3"/>
  <c r="G51" i="3"/>
  <c r="G50" i="3"/>
  <c r="G49" i="3"/>
  <c r="G48" i="3"/>
  <c r="G47" i="3"/>
  <c r="G46" i="3"/>
  <c r="F53" i="3"/>
  <c r="F52" i="3"/>
  <c r="F51" i="3"/>
  <c r="F50" i="3"/>
  <c r="F49" i="3"/>
  <c r="F48" i="3"/>
  <c r="F47" i="3"/>
  <c r="F46" i="3"/>
  <c r="B22" i="5"/>
  <c r="J53" i="3"/>
  <c r="H53" i="3"/>
  <c r="J52" i="3"/>
  <c r="H52" i="3"/>
  <c r="J51" i="3"/>
  <c r="H51" i="3"/>
  <c r="J50" i="3"/>
  <c r="H50" i="3"/>
  <c r="J49" i="3"/>
  <c r="H49" i="3"/>
  <c r="J48" i="3"/>
  <c r="H48" i="3"/>
  <c r="J47" i="3"/>
  <c r="H47" i="3"/>
  <c r="J46" i="3"/>
  <c r="H46" i="3"/>
  <c r="E53" i="3"/>
  <c r="D53" i="3"/>
  <c r="C53" i="3"/>
  <c r="E52" i="3"/>
  <c r="D52" i="3"/>
  <c r="C52" i="3"/>
  <c r="E51" i="3"/>
  <c r="D51" i="3"/>
  <c r="C51" i="3"/>
  <c r="E50" i="3"/>
  <c r="D50" i="3"/>
  <c r="C50" i="3"/>
  <c r="E49" i="3"/>
  <c r="D49" i="3"/>
  <c r="C49" i="3"/>
  <c r="E48" i="3"/>
  <c r="D48" i="3"/>
  <c r="C48" i="3"/>
  <c r="E47" i="3"/>
  <c r="D47" i="3"/>
  <c r="C47" i="3"/>
  <c r="E46" i="3"/>
  <c r="D46" i="3"/>
  <c r="C46" i="3"/>
  <c r="V53" i="3"/>
  <c r="U53" i="3"/>
  <c r="T53" i="3"/>
  <c r="S53" i="3"/>
  <c r="R53" i="3"/>
  <c r="Q53" i="3"/>
  <c r="P53" i="3"/>
  <c r="V52" i="3"/>
  <c r="U52" i="3"/>
  <c r="T52" i="3"/>
  <c r="S52" i="3"/>
  <c r="R52" i="3"/>
  <c r="Q52" i="3"/>
  <c r="P52" i="3"/>
  <c r="V51" i="3"/>
  <c r="U51" i="3"/>
  <c r="T51" i="3"/>
  <c r="S51" i="3"/>
  <c r="R51" i="3"/>
  <c r="Q51" i="3"/>
  <c r="P51" i="3"/>
  <c r="V50" i="3"/>
  <c r="U50" i="3"/>
  <c r="T50" i="3"/>
  <c r="S50" i="3"/>
  <c r="R50" i="3"/>
  <c r="Q50" i="3"/>
  <c r="P50" i="3"/>
  <c r="V49" i="3"/>
  <c r="U49" i="3"/>
  <c r="T49" i="3"/>
  <c r="S49" i="3"/>
  <c r="R49" i="3"/>
  <c r="Q49" i="3"/>
  <c r="P49" i="3"/>
  <c r="V48" i="3"/>
  <c r="U48" i="3"/>
  <c r="T48" i="3"/>
  <c r="S48" i="3"/>
  <c r="R48" i="3"/>
  <c r="Q48" i="3"/>
  <c r="P48" i="3"/>
  <c r="V47" i="3"/>
  <c r="U47" i="3"/>
  <c r="T47" i="3"/>
  <c r="S47" i="3"/>
  <c r="R47" i="3"/>
  <c r="Q47" i="3"/>
  <c r="P47" i="3"/>
  <c r="V46" i="3"/>
  <c r="U46" i="3"/>
  <c r="T46" i="3"/>
  <c r="S46" i="3"/>
  <c r="R46" i="3"/>
  <c r="Q46" i="3"/>
  <c r="P46" i="3"/>
  <c r="I95" i="4"/>
  <c r="I94" i="4"/>
  <c r="I93" i="4"/>
  <c r="I92" i="4"/>
  <c r="I91" i="4"/>
  <c r="I90" i="4"/>
  <c r="I89" i="4"/>
  <c r="I88" i="4"/>
  <c r="D95" i="4"/>
  <c r="D94" i="4"/>
  <c r="D93" i="4"/>
  <c r="D92" i="4"/>
  <c r="D91" i="4"/>
  <c r="D90" i="4"/>
  <c r="D89" i="4"/>
  <c r="D88" i="4"/>
  <c r="H95" i="4"/>
  <c r="G95" i="4"/>
  <c r="F95" i="4"/>
  <c r="E95" i="4"/>
  <c r="H94" i="4"/>
  <c r="G94" i="4"/>
  <c r="F94" i="4"/>
  <c r="E94" i="4"/>
  <c r="H93" i="4"/>
  <c r="G93" i="4"/>
  <c r="F93" i="4"/>
  <c r="E93" i="4"/>
  <c r="H92" i="4"/>
  <c r="G92" i="4"/>
  <c r="F92" i="4"/>
  <c r="E92" i="4"/>
  <c r="H91" i="4"/>
  <c r="G91" i="4"/>
  <c r="F91" i="4"/>
  <c r="E91" i="4"/>
  <c r="H90" i="4"/>
  <c r="G90" i="4"/>
  <c r="F90" i="4"/>
  <c r="E90" i="4"/>
  <c r="H89" i="4"/>
  <c r="G89" i="4"/>
  <c r="F89" i="4"/>
  <c r="E89" i="4"/>
  <c r="H88" i="4"/>
  <c r="G88" i="4"/>
  <c r="F88" i="4"/>
  <c r="E88" i="4"/>
  <c r="B95" i="4"/>
  <c r="B94" i="4"/>
  <c r="B93" i="4"/>
  <c r="B92" i="4"/>
  <c r="B91" i="4"/>
  <c r="B90" i="4"/>
  <c r="B89" i="4"/>
  <c r="B88" i="4"/>
  <c r="N90" i="3"/>
  <c r="N91" i="3"/>
  <c r="N92" i="3"/>
  <c r="N88" i="3"/>
  <c r="N89" i="3"/>
  <c r="N95" i="3"/>
  <c r="N94" i="3"/>
  <c r="C22" i="5"/>
  <c r="N93" i="3"/>
  <c r="N105" i="3"/>
  <c r="N104" i="3"/>
  <c r="N103" i="3"/>
  <c r="N102" i="3"/>
  <c r="N101" i="3"/>
  <c r="N100" i="3"/>
  <c r="N99" i="3"/>
  <c r="N98" i="3"/>
  <c r="A56" i="5" l="1"/>
  <c r="A55" i="5"/>
  <c r="A54" i="5"/>
  <c r="A53" i="5"/>
  <c r="A52" i="5"/>
  <c r="A51" i="5"/>
  <c r="A50" i="5"/>
  <c r="A49" i="5"/>
  <c r="H22" i="5"/>
  <c r="O7" i="5"/>
  <c r="O6" i="5"/>
  <c r="O5" i="5"/>
  <c r="R4" i="5"/>
  <c r="O4" i="5"/>
  <c r="O3" i="5"/>
  <c r="Z14" i="3"/>
  <c r="Z17" i="3"/>
  <c r="N18" i="3"/>
  <c r="Z21" i="3"/>
  <c r="B12" i="3"/>
  <c r="K6" i="4"/>
  <c r="N20" i="3"/>
  <c r="I39" i="5"/>
  <c r="A42" i="4"/>
  <c r="A48" i="4"/>
  <c r="N21" i="3"/>
  <c r="Y86" i="3"/>
  <c r="N14" i="3"/>
  <c r="AK22" i="3"/>
  <c r="B44" i="3"/>
  <c r="A30" i="4"/>
  <c r="A36" i="4"/>
  <c r="Z16" i="3"/>
  <c r="Z20" i="3"/>
  <c r="K42" i="4"/>
  <c r="B19" i="3"/>
  <c r="A18" i="4"/>
  <c r="N16" i="3"/>
  <c r="B17" i="3"/>
  <c r="B20" i="3"/>
  <c r="B21" i="3"/>
  <c r="K12" i="4"/>
  <c r="K36" i="4"/>
  <c r="K30" i="4"/>
  <c r="K18" i="4"/>
  <c r="L67" i="4"/>
  <c r="Z15" i="3"/>
  <c r="Z19" i="3"/>
  <c r="A12" i="4"/>
  <c r="N15" i="3"/>
  <c r="B16" i="3"/>
  <c r="J39" i="5"/>
  <c r="N17" i="3"/>
  <c r="K48" i="4"/>
  <c r="B18" i="3"/>
  <c r="B15" i="3"/>
  <c r="A24" i="4"/>
  <c r="A6" i="4"/>
  <c r="Z18" i="3"/>
  <c r="B14" i="3"/>
  <c r="K24" i="4"/>
  <c r="Y54" i="3"/>
  <c r="N19" i="3"/>
  <c r="D2" i="5" a="1"/>
  <c r="L50" i="4" l="1"/>
  <c r="B50" i="4"/>
  <c r="D2" i="5"/>
  <c r="AQ12" i="3"/>
  <c r="AR11" i="3"/>
  <c r="AU9" i="3"/>
  <c r="G43" i="5" a="1"/>
  <c r="K43" i="5" s="1"/>
  <c r="K38" i="5"/>
  <c r="L38" i="5" s="1"/>
  <c r="K37" i="5"/>
  <c r="L37" i="5" s="1"/>
  <c r="L36" i="5"/>
  <c r="K36" i="5"/>
  <c r="K35" i="5"/>
  <c r="L35" i="5" s="1"/>
  <c r="K34" i="5"/>
  <c r="L34" i="5" s="1"/>
  <c r="K33" i="5"/>
  <c r="L33" i="5" s="1"/>
  <c r="L32" i="5"/>
  <c r="K32" i="5"/>
  <c r="K31" i="5"/>
  <c r="L31" i="5" s="1"/>
  <c r="H23" i="5"/>
  <c r="R21" i="5"/>
  <c r="Q22" i="5" s="1"/>
  <c r="AE16" i="5"/>
  <c r="AD16" i="5"/>
  <c r="AC16" i="5"/>
  <c r="AB16" i="5"/>
  <c r="AA16" i="5"/>
  <c r="Z16" i="5"/>
  <c r="Y16" i="5"/>
  <c r="X16" i="5"/>
  <c r="AE15" i="5"/>
  <c r="AD15" i="5"/>
  <c r="AC15" i="5"/>
  <c r="AB15" i="5"/>
  <c r="AA15" i="5"/>
  <c r="Z15" i="5"/>
  <c r="Y15" i="5"/>
  <c r="X15" i="5"/>
  <c r="AE14" i="5"/>
  <c r="AD14" i="5"/>
  <c r="AC14" i="5"/>
  <c r="AB14" i="5"/>
  <c r="AA14" i="5"/>
  <c r="Z14" i="5"/>
  <c r="Y14" i="5"/>
  <c r="X14" i="5"/>
  <c r="AE13" i="5"/>
  <c r="AD13" i="5"/>
  <c r="AC13" i="5"/>
  <c r="AB13" i="5"/>
  <c r="AA13" i="5"/>
  <c r="Z13" i="5"/>
  <c r="Y13" i="5"/>
  <c r="X13" i="5"/>
  <c r="AE12" i="5"/>
  <c r="AD12" i="5"/>
  <c r="AC12" i="5"/>
  <c r="AB12" i="5"/>
  <c r="AA12" i="5"/>
  <c r="Z12" i="5"/>
  <c r="Y12" i="5"/>
  <c r="X12" i="5"/>
  <c r="R12" i="5"/>
  <c r="Q13" i="5" s="1"/>
  <c r="N12" i="5"/>
  <c r="N13" i="5" s="1"/>
  <c r="J12" i="5"/>
  <c r="J13" i="5" s="1"/>
  <c r="I12" i="5"/>
  <c r="I13" i="5" s="1"/>
  <c r="H12" i="5" a="1"/>
  <c r="L12" i="5" s="1"/>
  <c r="L13" i="5" s="1"/>
  <c r="AE11" i="5"/>
  <c r="AD11" i="5"/>
  <c r="AC11" i="5"/>
  <c r="AB11" i="5"/>
  <c r="AA11" i="5"/>
  <c r="Z11" i="5"/>
  <c r="Y11" i="5"/>
  <c r="X11" i="5"/>
  <c r="AE10" i="5"/>
  <c r="AD10" i="5"/>
  <c r="AC10" i="5"/>
  <c r="AB10" i="5"/>
  <c r="AA10" i="5"/>
  <c r="Z10" i="5"/>
  <c r="Y10" i="5"/>
  <c r="X10" i="5"/>
  <c r="AE9" i="5"/>
  <c r="AD9" i="5"/>
  <c r="AC9" i="5"/>
  <c r="AB9" i="5"/>
  <c r="AA9" i="5"/>
  <c r="Z9" i="5"/>
  <c r="Y9" i="5"/>
  <c r="X9" i="5"/>
  <c r="AM8" i="5"/>
  <c r="AL8" i="5"/>
  <c r="AK8" i="5"/>
  <c r="AJ8" i="5"/>
  <c r="AI8" i="5"/>
  <c r="AH8" i="5"/>
  <c r="AG8" i="5"/>
  <c r="AF8" i="5"/>
  <c r="AC8" i="5"/>
  <c r="AB8" i="5"/>
  <c r="AA8" i="5"/>
  <c r="Z8" i="5"/>
  <c r="Y8" i="5"/>
  <c r="X8" i="5"/>
  <c r="W8" i="5"/>
  <c r="V8" i="5"/>
  <c r="P7" i="5"/>
  <c r="P6" i="5"/>
  <c r="P5" i="5"/>
  <c r="A5" i="5"/>
  <c r="P4" i="5"/>
  <c r="B4" i="5"/>
  <c r="A4" i="5"/>
  <c r="P3" i="5"/>
  <c r="B3" i="5"/>
  <c r="Q57" i="4"/>
  <c r="P57" i="4"/>
  <c r="O57" i="4"/>
  <c r="N57" i="4"/>
  <c r="M57" i="4"/>
  <c r="L57" i="4"/>
  <c r="K57" i="4"/>
  <c r="J57" i="4"/>
  <c r="H57" i="4"/>
  <c r="G57" i="4"/>
  <c r="F57" i="4"/>
  <c r="E57" i="4"/>
  <c r="D57" i="4"/>
  <c r="C57" i="4"/>
  <c r="B57" i="4"/>
  <c r="A57" i="4"/>
  <c r="K51" i="4"/>
  <c r="A51" i="4"/>
  <c r="S48" i="4"/>
  <c r="R48" i="4"/>
  <c r="Q48" i="4"/>
  <c r="P48" i="4"/>
  <c r="O48" i="4"/>
  <c r="N48" i="4"/>
  <c r="M48" i="4"/>
  <c r="L48" i="4"/>
  <c r="I48" i="4"/>
  <c r="H48" i="4"/>
  <c r="G48" i="4"/>
  <c r="F48" i="4"/>
  <c r="E48" i="4"/>
  <c r="D48" i="4"/>
  <c r="C48" i="4"/>
  <c r="B48" i="4"/>
  <c r="S42" i="4"/>
  <c r="R42" i="4"/>
  <c r="Q42" i="4"/>
  <c r="P42" i="4"/>
  <c r="O42" i="4"/>
  <c r="N42" i="4"/>
  <c r="M42" i="4"/>
  <c r="L42" i="4"/>
  <c r="I42" i="4"/>
  <c r="H42" i="4"/>
  <c r="G42" i="4"/>
  <c r="F42" i="4"/>
  <c r="E42" i="4"/>
  <c r="D42" i="4"/>
  <c r="C42" i="4"/>
  <c r="B42" i="4"/>
  <c r="S36" i="4"/>
  <c r="R36" i="4"/>
  <c r="Q36" i="4"/>
  <c r="P36" i="4"/>
  <c r="O36" i="4"/>
  <c r="N36" i="4"/>
  <c r="M36" i="4"/>
  <c r="L36" i="4"/>
  <c r="I36" i="4"/>
  <c r="H36" i="4"/>
  <c r="G36" i="4"/>
  <c r="F36" i="4"/>
  <c r="E36" i="4"/>
  <c r="D36" i="4"/>
  <c r="C36" i="4"/>
  <c r="B36" i="4"/>
  <c r="S30" i="4"/>
  <c r="R30" i="4"/>
  <c r="Q30" i="4"/>
  <c r="P30" i="4"/>
  <c r="O30" i="4"/>
  <c r="N30" i="4"/>
  <c r="M30" i="4"/>
  <c r="L30" i="4"/>
  <c r="I30" i="4"/>
  <c r="H30" i="4"/>
  <c r="G30" i="4"/>
  <c r="F30" i="4"/>
  <c r="E30" i="4"/>
  <c r="D30" i="4"/>
  <c r="C30" i="4"/>
  <c r="B30" i="4"/>
  <c r="S24" i="4"/>
  <c r="R24" i="4"/>
  <c r="Q24" i="4"/>
  <c r="P24" i="4"/>
  <c r="O24" i="4"/>
  <c r="N24" i="4"/>
  <c r="M24" i="4"/>
  <c r="L24" i="4"/>
  <c r="I24" i="4"/>
  <c r="H24" i="4"/>
  <c r="G24" i="4"/>
  <c r="F24" i="4"/>
  <c r="E24" i="4"/>
  <c r="D24" i="4"/>
  <c r="C24" i="4"/>
  <c r="B24" i="4"/>
  <c r="S18" i="4"/>
  <c r="R18" i="4"/>
  <c r="Q18" i="4"/>
  <c r="P18" i="4"/>
  <c r="O18" i="4"/>
  <c r="N18" i="4"/>
  <c r="M18" i="4"/>
  <c r="L18" i="4"/>
  <c r="I18" i="4"/>
  <c r="H18" i="4"/>
  <c r="G18" i="4"/>
  <c r="F18" i="4"/>
  <c r="E18" i="4"/>
  <c r="D18" i="4"/>
  <c r="C18" i="4"/>
  <c r="B18" i="4"/>
  <c r="S12" i="4"/>
  <c r="R12" i="4"/>
  <c r="Q12" i="4"/>
  <c r="P12" i="4"/>
  <c r="O12" i="4"/>
  <c r="N12" i="4"/>
  <c r="M12" i="4"/>
  <c r="L12" i="4"/>
  <c r="I12" i="4"/>
  <c r="H12" i="4"/>
  <c r="G12" i="4"/>
  <c r="F12" i="4"/>
  <c r="E12" i="4"/>
  <c r="D12" i="4"/>
  <c r="C12" i="4"/>
  <c r="B12" i="4"/>
  <c r="S6" i="4"/>
  <c r="R6" i="4"/>
  <c r="Q6" i="4"/>
  <c r="P6" i="4"/>
  <c r="O6" i="4"/>
  <c r="N6" i="4"/>
  <c r="M6" i="4"/>
  <c r="L6" i="4"/>
  <c r="I6" i="4"/>
  <c r="H6" i="4"/>
  <c r="G6" i="4"/>
  <c r="F6" i="4"/>
  <c r="E6" i="4"/>
  <c r="D6" i="4"/>
  <c r="C6" i="4"/>
  <c r="B6" i="4"/>
  <c r="AU30" i="3"/>
  <c r="AU29" i="3"/>
  <c r="AT13" i="3"/>
  <c r="AX8" i="3"/>
  <c r="AQ8" i="3" a="1"/>
  <c r="AQ8" i="3"/>
  <c r="B3" i="3"/>
  <c r="M2" i="3"/>
  <c r="R278" i="2"/>
  <c r="A278" i="2"/>
  <c r="R277" i="2"/>
  <c r="A277" i="2"/>
  <c r="R276" i="2"/>
  <c r="A276" i="2"/>
  <c r="R264" i="2"/>
  <c r="A264" i="2"/>
  <c r="R263" i="2"/>
  <c r="A263" i="2"/>
  <c r="R262" i="2"/>
  <c r="A262" i="2"/>
  <c r="R250" i="2"/>
  <c r="A250" i="2"/>
  <c r="R249" i="2"/>
  <c r="A249" i="2"/>
  <c r="R248" i="2"/>
  <c r="A248" i="2"/>
  <c r="R236" i="2"/>
  <c r="A236" i="2"/>
  <c r="R235" i="2"/>
  <c r="A235" i="2"/>
  <c r="R234" i="2"/>
  <c r="A234" i="2"/>
  <c r="R222" i="2"/>
  <c r="A222" i="2"/>
  <c r="R221" i="2"/>
  <c r="A221" i="2"/>
  <c r="R220" i="2"/>
  <c r="A220" i="2"/>
  <c r="R208" i="2"/>
  <c r="A208" i="2"/>
  <c r="R207" i="2"/>
  <c r="A207" i="2"/>
  <c r="R206" i="2"/>
  <c r="A206" i="2"/>
  <c r="R194" i="2"/>
  <c r="A194" i="2"/>
  <c r="R193" i="2"/>
  <c r="A193" i="2"/>
  <c r="R192" i="2"/>
  <c r="A192" i="2"/>
  <c r="R180" i="2"/>
  <c r="A180" i="2"/>
  <c r="R179" i="2"/>
  <c r="A179" i="2"/>
  <c r="R178" i="2"/>
  <c r="A178" i="2"/>
  <c r="R166" i="2"/>
  <c r="A166" i="2"/>
  <c r="R165" i="2"/>
  <c r="A165" i="2"/>
  <c r="R164" i="2"/>
  <c r="A164" i="2"/>
  <c r="R152" i="2"/>
  <c r="A152" i="2"/>
  <c r="R151" i="2"/>
  <c r="A151" i="2"/>
  <c r="R150" i="2"/>
  <c r="A150" i="2"/>
  <c r="R138" i="2"/>
  <c r="A138" i="2"/>
  <c r="R137" i="2"/>
  <c r="A137" i="2"/>
  <c r="R136" i="2"/>
  <c r="A136" i="2"/>
  <c r="R124" i="2"/>
  <c r="A124" i="2"/>
  <c r="R123" i="2"/>
  <c r="A123" i="2"/>
  <c r="R122" i="2"/>
  <c r="A122" i="2"/>
  <c r="R110" i="2"/>
  <c r="A110" i="2"/>
  <c r="R109" i="2"/>
  <c r="A109" i="2"/>
  <c r="R108" i="2"/>
  <c r="A108" i="2"/>
  <c r="R96" i="2"/>
  <c r="A96" i="2"/>
  <c r="R95" i="2"/>
  <c r="A95" i="2"/>
  <c r="R94" i="2"/>
  <c r="A94" i="2"/>
  <c r="R82" i="2"/>
  <c r="A82" i="2"/>
  <c r="R81" i="2"/>
  <c r="A81" i="2"/>
  <c r="R80" i="2"/>
  <c r="A80" i="2"/>
  <c r="R68" i="2"/>
  <c r="A68" i="2"/>
  <c r="R67" i="2"/>
  <c r="A67" i="2"/>
  <c r="R66" i="2"/>
  <c r="A66" i="2"/>
  <c r="R56" i="2"/>
  <c r="A56" i="2"/>
  <c r="R55" i="2"/>
  <c r="A55" i="2"/>
  <c r="R54" i="2"/>
  <c r="A54" i="2"/>
  <c r="R44" i="2"/>
  <c r="A44" i="2"/>
  <c r="R43" i="2"/>
  <c r="A43" i="2"/>
  <c r="R42" i="2"/>
  <c r="A42" i="2"/>
  <c r="R34" i="2"/>
  <c r="A34" i="2"/>
  <c r="R33" i="2"/>
  <c r="A33" i="2"/>
  <c r="R32" i="2"/>
  <c r="A32" i="2"/>
  <c r="R24" i="2"/>
  <c r="A24" i="2"/>
  <c r="R23" i="2"/>
  <c r="A23" i="2"/>
  <c r="R22" i="2"/>
  <c r="A22" i="2"/>
  <c r="R14" i="2"/>
  <c r="A14" i="2"/>
  <c r="R13" i="2"/>
  <c r="A13" i="2"/>
  <c r="R12" i="2"/>
  <c r="A12" i="2"/>
  <c r="C3" i="2"/>
  <c r="C4" i="2" s="1"/>
  <c r="B4" i="2" s="1"/>
  <c r="B3" i="2"/>
  <c r="B2" i="2"/>
  <c r="K53" i="1"/>
  <c r="A53" i="1"/>
  <c r="K52" i="1"/>
  <c r="A52" i="1"/>
  <c r="K45" i="1"/>
  <c r="A45" i="1"/>
  <c r="K44" i="1"/>
  <c r="A44" i="1"/>
  <c r="K37" i="1"/>
  <c r="A37" i="1"/>
  <c r="K36" i="1"/>
  <c r="A36" i="1"/>
  <c r="K29" i="1"/>
  <c r="A29" i="1"/>
  <c r="K28" i="1"/>
  <c r="A28" i="1"/>
  <c r="K21" i="1"/>
  <c r="A21" i="1"/>
  <c r="K20" i="1"/>
  <c r="A20" i="1"/>
  <c r="K13" i="1"/>
  <c r="A13" i="1"/>
  <c r="K12" i="1"/>
  <c r="A12" i="1"/>
  <c r="X86" i="3"/>
  <c r="B29" i="3"/>
  <c r="A70" i="4"/>
  <c r="B30" i="3"/>
  <c r="B25" i="3"/>
  <c r="A73" i="4"/>
  <c r="B26" i="3"/>
  <c r="B27" i="3"/>
  <c r="B28" i="3"/>
  <c r="B31" i="3"/>
  <c r="A72" i="4"/>
  <c r="A75" i="4"/>
  <c r="A71" i="4"/>
  <c r="A69" i="4"/>
  <c r="Z86" i="3"/>
  <c r="A74" i="4"/>
  <c r="B24" i="3"/>
  <c r="A76" i="4"/>
  <c r="E52" i="1" l="1"/>
  <c r="E12" i="1"/>
  <c r="G305" i="6"/>
  <c r="F150" i="2"/>
  <c r="E28" i="1"/>
  <c r="E45" i="1"/>
  <c r="G26" i="6"/>
  <c r="F33" i="2"/>
  <c r="G110" i="6"/>
  <c r="F24" i="2"/>
  <c r="F13" i="2"/>
  <c r="F179" i="2"/>
  <c r="F236" i="2"/>
  <c r="F178" i="2"/>
  <c r="G200" i="6"/>
  <c r="E13" i="1"/>
  <c r="E36" i="1"/>
  <c r="E53" i="1"/>
  <c r="F66" i="2"/>
  <c r="G185" i="6"/>
  <c r="F220" i="2"/>
  <c r="F110" i="2"/>
  <c r="G125" i="6"/>
  <c r="G155" i="6"/>
  <c r="E21" i="1"/>
  <c r="F94" i="2"/>
  <c r="F96" i="2"/>
  <c r="G38" i="6"/>
  <c r="F164" i="2"/>
  <c r="G65" i="6"/>
  <c r="G274" i="6"/>
  <c r="G275" i="6"/>
  <c r="F12" i="2"/>
  <c r="F136" i="2"/>
  <c r="F235" i="2"/>
  <c r="G139" i="6"/>
  <c r="F109" i="2"/>
  <c r="F278" i="2"/>
  <c r="E29" i="1"/>
  <c r="F32" i="2"/>
  <c r="F14" i="2"/>
  <c r="F23" i="2"/>
  <c r="F166" i="2"/>
  <c r="G229" i="6"/>
  <c r="F22" i="2"/>
  <c r="F221" i="2"/>
  <c r="K25" i="3"/>
  <c r="L15" i="3" s="1"/>
  <c r="K30" i="3"/>
  <c r="L20" i="3" s="1"/>
  <c r="G124" i="6"/>
  <c r="G140" i="6"/>
  <c r="G259" i="6"/>
  <c r="G260" i="6"/>
  <c r="E20" i="1"/>
  <c r="F95" i="2"/>
  <c r="F262" i="2"/>
  <c r="F264" i="2"/>
  <c r="G39" i="6"/>
  <c r="G50" i="6"/>
  <c r="G215" i="6"/>
  <c r="F42" i="2"/>
  <c r="F43" i="2"/>
  <c r="F44" i="2"/>
  <c r="F56" i="2"/>
  <c r="F276" i="2"/>
  <c r="F55" i="2"/>
  <c r="F68" i="2"/>
  <c r="F194" i="2"/>
  <c r="F137" i="2"/>
  <c r="F138" i="2"/>
  <c r="A59" i="4" a="1"/>
  <c r="A63" i="4" s="1"/>
  <c r="G79" i="6"/>
  <c r="G80" i="6"/>
  <c r="K26" i="3"/>
  <c r="L16" i="3" s="1"/>
  <c r="J59" i="4" a="1"/>
  <c r="J60" i="4" s="1"/>
  <c r="J69" i="4"/>
  <c r="G230" i="6"/>
  <c r="E44" i="1"/>
  <c r="F122" i="2"/>
  <c r="K31" i="3"/>
  <c r="L21" i="3" s="1"/>
  <c r="G14" i="6"/>
  <c r="G154" i="6"/>
  <c r="G199" i="6"/>
  <c r="G245" i="6"/>
  <c r="G290" i="6"/>
  <c r="K24" i="3"/>
  <c r="L14" i="3" s="1"/>
  <c r="AF9" i="5" a="1"/>
  <c r="AF15" i="5" s="1"/>
  <c r="F34" i="2"/>
  <c r="F151" i="2"/>
  <c r="F193" i="2"/>
  <c r="F206" i="2"/>
  <c r="F277" i="2"/>
  <c r="G15" i="6"/>
  <c r="G289" i="6"/>
  <c r="F124" i="2"/>
  <c r="F180" i="2"/>
  <c r="F208" i="2"/>
  <c r="F222" i="2"/>
  <c r="J73" i="4"/>
  <c r="T9" i="5" a="1"/>
  <c r="T13" i="5" s="1"/>
  <c r="V13" i="5" s="1"/>
  <c r="G51" i="6"/>
  <c r="G95" i="6"/>
  <c r="G109" i="6"/>
  <c r="G304" i="6"/>
  <c r="F123" i="2"/>
  <c r="F54" i="2"/>
  <c r="C5" i="2"/>
  <c r="F108" i="2"/>
  <c r="F207" i="2"/>
  <c r="F192" i="2"/>
  <c r="K29" i="3"/>
  <c r="L19" i="3" s="1"/>
  <c r="B4" i="3"/>
  <c r="M3" i="3"/>
  <c r="AU8" i="3"/>
  <c r="AT8" i="3"/>
  <c r="K28" i="3"/>
  <c r="L18" i="3" s="1"/>
  <c r="J70" i="4"/>
  <c r="AR8" i="3"/>
  <c r="J71" i="4"/>
  <c r="AS8" i="3"/>
  <c r="F263" i="2"/>
  <c r="AV8" i="3"/>
  <c r="K27" i="3"/>
  <c r="L17" i="3" s="1"/>
  <c r="AW8" i="3"/>
  <c r="J72" i="4"/>
  <c r="J74" i="4"/>
  <c r="J75" i="4"/>
  <c r="B5" i="5"/>
  <c r="A6" i="5"/>
  <c r="J76" i="4"/>
  <c r="M12" i="5"/>
  <c r="M13" i="5" s="1"/>
  <c r="L43" i="5"/>
  <c r="M43" i="5"/>
  <c r="H12" i="5"/>
  <c r="H13" i="5" s="1"/>
  <c r="O12" i="5"/>
  <c r="O13" i="5" s="1"/>
  <c r="G43" i="5"/>
  <c r="N43" i="5"/>
  <c r="G169" i="6"/>
  <c r="G184" i="6"/>
  <c r="H43" i="5"/>
  <c r="I43" i="5"/>
  <c r="G27" i="6"/>
  <c r="G94" i="6"/>
  <c r="K12" i="5"/>
  <c r="K13" i="5" s="1"/>
  <c r="J43" i="5"/>
  <c r="G64" i="6"/>
  <c r="G244" i="6"/>
  <c r="G170" i="6"/>
  <c r="G214" i="6"/>
  <c r="W13" i="5"/>
  <c r="J211" i="2" l="1"/>
  <c r="J212" i="2"/>
  <c r="J47" i="2"/>
  <c r="J48" i="2"/>
  <c r="I28" i="2"/>
  <c r="I27" i="2"/>
  <c r="H100" i="2"/>
  <c r="H99" i="2"/>
  <c r="H25" i="1"/>
  <c r="H24" i="1"/>
  <c r="G16" i="1"/>
  <c r="G17" i="1"/>
  <c r="J128" i="2"/>
  <c r="J127" i="2"/>
  <c r="H27" i="2"/>
  <c r="H28" i="2"/>
  <c r="H17" i="2"/>
  <c r="H18" i="2"/>
  <c r="J28" i="2"/>
  <c r="J27" i="2"/>
  <c r="G57" i="1"/>
  <c r="G56" i="1"/>
  <c r="I282" i="2"/>
  <c r="I281" i="2"/>
  <c r="L276" i="2" s="1"/>
  <c r="J198" i="2"/>
  <c r="J197" i="2"/>
  <c r="I99" i="2"/>
  <c r="I100" i="2"/>
  <c r="J99" i="2"/>
  <c r="J100" i="2"/>
  <c r="H72" i="2"/>
  <c r="H71" i="2"/>
  <c r="G33" i="1"/>
  <c r="G32" i="1"/>
  <c r="I211" i="2"/>
  <c r="I212" i="2"/>
  <c r="J184" i="2"/>
  <c r="J183" i="2"/>
  <c r="J18" i="2"/>
  <c r="J17" i="2"/>
  <c r="J311" i="6"/>
  <c r="J310" i="6"/>
  <c r="J281" i="6"/>
  <c r="J280" i="6"/>
  <c r="J251" i="6"/>
  <c r="J250" i="6"/>
  <c r="J221" i="6"/>
  <c r="J220" i="6"/>
  <c r="J191" i="6"/>
  <c r="J190" i="6"/>
  <c r="J161" i="6"/>
  <c r="J160" i="6"/>
  <c r="J131" i="6"/>
  <c r="J130" i="6"/>
  <c r="J309" i="6"/>
  <c r="J279" i="6"/>
  <c r="J249" i="6"/>
  <c r="J219" i="6"/>
  <c r="J189" i="6"/>
  <c r="J159" i="6"/>
  <c r="J129" i="6"/>
  <c r="J266" i="6"/>
  <c r="J205" i="6"/>
  <c r="J204" i="6"/>
  <c r="J146" i="6"/>
  <c r="J101" i="6"/>
  <c r="J100" i="6"/>
  <c r="J57" i="6"/>
  <c r="J56" i="6"/>
  <c r="J45" i="6"/>
  <c r="J44" i="6"/>
  <c r="J33" i="6"/>
  <c r="J32" i="6"/>
  <c r="J295" i="6"/>
  <c r="J294" i="6"/>
  <c r="J236" i="6"/>
  <c r="J175" i="6"/>
  <c r="J174" i="6"/>
  <c r="J116" i="6"/>
  <c r="J71" i="6"/>
  <c r="J70" i="6"/>
  <c r="J21" i="6"/>
  <c r="J99" i="6"/>
  <c r="J55" i="6"/>
  <c r="J43" i="6"/>
  <c r="J31" i="6"/>
  <c r="J265" i="6"/>
  <c r="J264" i="6"/>
  <c r="J206" i="6"/>
  <c r="J145" i="6"/>
  <c r="J144" i="6"/>
  <c r="J86" i="6"/>
  <c r="J85" i="6"/>
  <c r="J69" i="6"/>
  <c r="J296" i="6"/>
  <c r="J235" i="6"/>
  <c r="J234" i="6"/>
  <c r="J176" i="6"/>
  <c r="J115" i="6"/>
  <c r="J114" i="6"/>
  <c r="J19" i="6"/>
  <c r="J20" i="6"/>
  <c r="J84" i="6"/>
  <c r="H267" i="2"/>
  <c r="L262" i="2" s="1"/>
  <c r="H268" i="2"/>
  <c r="H48" i="1"/>
  <c r="H49" i="1"/>
  <c r="J45" i="1" s="1"/>
  <c r="H212" i="2"/>
  <c r="H211" i="2"/>
  <c r="I294" i="6"/>
  <c r="N289" i="6" s="1"/>
  <c r="I264" i="6"/>
  <c r="I234" i="6"/>
  <c r="N229" i="6" s="1"/>
  <c r="I204" i="6"/>
  <c r="I174" i="6"/>
  <c r="I144" i="6"/>
  <c r="N139" i="6" s="1"/>
  <c r="I114" i="6"/>
  <c r="N109" i="6" s="1"/>
  <c r="I311" i="6"/>
  <c r="N306" i="6" s="1"/>
  <c r="I310" i="6"/>
  <c r="I281" i="6"/>
  <c r="N276" i="6" s="1"/>
  <c r="I280" i="6"/>
  <c r="I251" i="6"/>
  <c r="I250" i="6"/>
  <c r="I221" i="6"/>
  <c r="I220" i="6"/>
  <c r="I191" i="6"/>
  <c r="N186" i="6" s="1"/>
  <c r="I190" i="6"/>
  <c r="I161" i="6"/>
  <c r="N156" i="6" s="1"/>
  <c r="I160" i="6"/>
  <c r="I131" i="6"/>
  <c r="I130" i="6"/>
  <c r="I279" i="6"/>
  <c r="I159" i="6"/>
  <c r="N154" i="6" s="1"/>
  <c r="I84" i="6"/>
  <c r="I20" i="6"/>
  <c r="N15" i="6" s="1"/>
  <c r="I19" i="6"/>
  <c r="N14" i="6" s="1"/>
  <c r="I266" i="6"/>
  <c r="N261" i="6" s="1"/>
  <c r="I205" i="6"/>
  <c r="I146" i="6"/>
  <c r="N141" i="6" s="1"/>
  <c r="I101" i="6"/>
  <c r="N96" i="6" s="1"/>
  <c r="I100" i="6"/>
  <c r="N95" i="6" s="1"/>
  <c r="I57" i="6"/>
  <c r="N52" i="6" s="1"/>
  <c r="I56" i="6"/>
  <c r="N51" i="6" s="1"/>
  <c r="I45" i="6"/>
  <c r="N40" i="6" s="1"/>
  <c r="I44" i="6"/>
  <c r="N39" i="6" s="1"/>
  <c r="I33" i="6"/>
  <c r="I32" i="6"/>
  <c r="N27" i="6" s="1"/>
  <c r="I249" i="6"/>
  <c r="N244" i="6" s="1"/>
  <c r="I129" i="6"/>
  <c r="N124" i="6" s="1"/>
  <c r="I295" i="6"/>
  <c r="I236" i="6"/>
  <c r="N231" i="6" s="1"/>
  <c r="I175" i="6"/>
  <c r="I116" i="6"/>
  <c r="N111" i="6" s="1"/>
  <c r="I71" i="6"/>
  <c r="I70" i="6"/>
  <c r="N65" i="6" s="1"/>
  <c r="I21" i="6"/>
  <c r="N16" i="6" s="1"/>
  <c r="I219" i="6"/>
  <c r="N214" i="6" s="1"/>
  <c r="I99" i="6"/>
  <c r="N94" i="6" s="1"/>
  <c r="I55" i="6"/>
  <c r="I43" i="6"/>
  <c r="N38" i="6" s="1"/>
  <c r="I31" i="6"/>
  <c r="N26" i="6" s="1"/>
  <c r="I265" i="6"/>
  <c r="I206" i="6"/>
  <c r="N201" i="6" s="1"/>
  <c r="I145" i="6"/>
  <c r="I86" i="6"/>
  <c r="N81" i="6" s="1"/>
  <c r="I85" i="6"/>
  <c r="N80" i="6" s="1"/>
  <c r="I309" i="6"/>
  <c r="I189" i="6"/>
  <c r="N184" i="6" s="1"/>
  <c r="I69" i="6"/>
  <c r="N64" i="6" s="1"/>
  <c r="I176" i="6"/>
  <c r="N171" i="6" s="1"/>
  <c r="I296" i="6"/>
  <c r="I115" i="6"/>
  <c r="N110" i="6" s="1"/>
  <c r="I235" i="6"/>
  <c r="J72" i="2"/>
  <c r="J71" i="2"/>
  <c r="G24" i="1"/>
  <c r="G25" i="1"/>
  <c r="H37" i="2"/>
  <c r="H38" i="2"/>
  <c r="H57" i="1"/>
  <c r="H56" i="1"/>
  <c r="H184" i="2"/>
  <c r="H183" i="2"/>
  <c r="H156" i="2"/>
  <c r="H155" i="2"/>
  <c r="J141" i="2"/>
  <c r="J142" i="2"/>
  <c r="I240" i="2"/>
  <c r="I239" i="2"/>
  <c r="I226" i="2"/>
  <c r="I225" i="2"/>
  <c r="I18" i="2"/>
  <c r="I17" i="2"/>
  <c r="H114" i="2"/>
  <c r="H113" i="2"/>
  <c r="I198" i="2"/>
  <c r="I197" i="2"/>
  <c r="I60" i="2"/>
  <c r="I59" i="2"/>
  <c r="H32" i="1"/>
  <c r="H33" i="1"/>
  <c r="H226" i="2"/>
  <c r="H225" i="2"/>
  <c r="G40" i="1"/>
  <c r="G41" i="1"/>
  <c r="I114" i="2"/>
  <c r="I113" i="2"/>
  <c r="H16" i="1"/>
  <c r="H17" i="1"/>
  <c r="I47" i="2"/>
  <c r="I48" i="2"/>
  <c r="H142" i="2"/>
  <c r="H141" i="2"/>
  <c r="H48" i="2"/>
  <c r="H47" i="2"/>
  <c r="I267" i="2"/>
  <c r="I268" i="2"/>
  <c r="I128" i="2"/>
  <c r="I127" i="2"/>
  <c r="I156" i="2"/>
  <c r="I155" i="2"/>
  <c r="H127" i="2"/>
  <c r="H128" i="2"/>
  <c r="H282" i="2"/>
  <c r="H281" i="2"/>
  <c r="J239" i="2"/>
  <c r="J240" i="2"/>
  <c r="H198" i="2"/>
  <c r="H197" i="2"/>
  <c r="J268" i="2"/>
  <c r="J267" i="2"/>
  <c r="H169" i="2"/>
  <c r="H170" i="2"/>
  <c r="J38" i="2"/>
  <c r="J37" i="2"/>
  <c r="G49" i="1"/>
  <c r="G48" i="1"/>
  <c r="J60" i="2"/>
  <c r="J59" i="2"/>
  <c r="J170" i="2"/>
  <c r="J169" i="2"/>
  <c r="J282" i="2"/>
  <c r="J281" i="2"/>
  <c r="J114" i="2"/>
  <c r="J113" i="2"/>
  <c r="I184" i="2"/>
  <c r="I183" i="2"/>
  <c r="I38" i="2"/>
  <c r="I37" i="2"/>
  <c r="J44" i="1"/>
  <c r="J52" i="1"/>
  <c r="J53" i="1"/>
  <c r="K60" i="4"/>
  <c r="T15" i="5"/>
  <c r="V15" i="5" s="1"/>
  <c r="J65" i="4"/>
  <c r="T14" i="5"/>
  <c r="V14" i="5" s="1"/>
  <c r="T10" i="5"/>
  <c r="V10" i="5" s="1"/>
  <c r="T11" i="5"/>
  <c r="V11" i="5" s="1"/>
  <c r="T12" i="5"/>
  <c r="V12" i="5" s="1"/>
  <c r="A60" i="4"/>
  <c r="A61" i="4"/>
  <c r="J63" i="4"/>
  <c r="J61" i="4"/>
  <c r="A65" i="4"/>
  <c r="AF9" i="5"/>
  <c r="AF13" i="5"/>
  <c r="AF10" i="5"/>
  <c r="J62" i="4"/>
  <c r="A62" i="4"/>
  <c r="T16" i="5"/>
  <c r="V16" i="5" s="1"/>
  <c r="T9" i="5"/>
  <c r="V9" i="5" s="1"/>
  <c r="AF16" i="5"/>
  <c r="AF11" i="5"/>
  <c r="J64" i="4"/>
  <c r="A64" i="4"/>
  <c r="AF12" i="5"/>
  <c r="J59" i="4"/>
  <c r="A59" i="4"/>
  <c r="AF14" i="5"/>
  <c r="J66" i="4"/>
  <c r="A66" i="4"/>
  <c r="B6" i="5"/>
  <c r="A7" i="5"/>
  <c r="B5" i="3"/>
  <c r="M4" i="3"/>
  <c r="B5" i="2"/>
  <c r="C6" i="2"/>
  <c r="O12" i="3" a="1"/>
  <c r="H24" i="5" a="1"/>
  <c r="L22" i="3"/>
  <c r="W12" i="5"/>
  <c r="W11" i="5"/>
  <c r="W16" i="5"/>
  <c r="W14" i="5"/>
  <c r="W10" i="5"/>
  <c r="W9" i="5"/>
  <c r="W15" i="5"/>
  <c r="N283" i="2" l="1"/>
  <c r="N281" i="2"/>
  <c r="N282" i="2"/>
  <c r="L45" i="1"/>
  <c r="J49" i="1" s="1"/>
  <c r="K49" i="1"/>
  <c r="N268" i="2"/>
  <c r="N269" i="2"/>
  <c r="N267" i="2"/>
  <c r="N304" i="6"/>
  <c r="Q312" i="6"/>
  <c r="Q282" i="6"/>
  <c r="Q252" i="6"/>
  <c r="Q222" i="6"/>
  <c r="Q192" i="6"/>
  <c r="Q162" i="6"/>
  <c r="Q132" i="6"/>
  <c r="Q309" i="6"/>
  <c r="Q279" i="6"/>
  <c r="Q249" i="6"/>
  <c r="Q219" i="6"/>
  <c r="Q189" i="6"/>
  <c r="Q159" i="6"/>
  <c r="Q129" i="6"/>
  <c r="Q296" i="6"/>
  <c r="Q295" i="6"/>
  <c r="Q266" i="6"/>
  <c r="Q265" i="6"/>
  <c r="Q236" i="6"/>
  <c r="Q235" i="6"/>
  <c r="Q206" i="6"/>
  <c r="Q205" i="6"/>
  <c r="Q176" i="6"/>
  <c r="Q175" i="6"/>
  <c r="Q146" i="6"/>
  <c r="Q145" i="6"/>
  <c r="Q116" i="6"/>
  <c r="Q115" i="6"/>
  <c r="Q294" i="6"/>
  <c r="Q280" i="6"/>
  <c r="Q221" i="6"/>
  <c r="Q207" i="6"/>
  <c r="Q174" i="6"/>
  <c r="Q160" i="6"/>
  <c r="Q102" i="6"/>
  <c r="Q71" i="6"/>
  <c r="Q70" i="6"/>
  <c r="Q58" i="6"/>
  <c r="Q46" i="6"/>
  <c r="Q34" i="6"/>
  <c r="Q21" i="6"/>
  <c r="Q99" i="6"/>
  <c r="Q55" i="6"/>
  <c r="Q43" i="6"/>
  <c r="Q31" i="6"/>
  <c r="Q311" i="6"/>
  <c r="Q297" i="6"/>
  <c r="Q264" i="6"/>
  <c r="Q250" i="6"/>
  <c r="Q191" i="6"/>
  <c r="Q177" i="6"/>
  <c r="Q144" i="6"/>
  <c r="Q130" i="6"/>
  <c r="Q86" i="6"/>
  <c r="Q85" i="6"/>
  <c r="Q72" i="6"/>
  <c r="Q69" i="6"/>
  <c r="Q281" i="6"/>
  <c r="Q267" i="6"/>
  <c r="Q234" i="6"/>
  <c r="Q220" i="6"/>
  <c r="Q161" i="6"/>
  <c r="Q147" i="6"/>
  <c r="Q114" i="6"/>
  <c r="Q87" i="6"/>
  <c r="Q84" i="6"/>
  <c r="Q22" i="6"/>
  <c r="Q20" i="6"/>
  <c r="Q19" i="6"/>
  <c r="Q310" i="6"/>
  <c r="Q251" i="6"/>
  <c r="Q237" i="6"/>
  <c r="Q204" i="6"/>
  <c r="Q190" i="6"/>
  <c r="Q131" i="6"/>
  <c r="Q117" i="6"/>
  <c r="Q101" i="6"/>
  <c r="Q100" i="6"/>
  <c r="Q57" i="6"/>
  <c r="Q56" i="6"/>
  <c r="Q45" i="6"/>
  <c r="Q44" i="6"/>
  <c r="Q33" i="6"/>
  <c r="Q32" i="6"/>
  <c r="L52" i="1"/>
  <c r="K56" i="1"/>
  <c r="J56" i="1"/>
  <c r="N79" i="6"/>
  <c r="N259" i="6"/>
  <c r="L44" i="1"/>
  <c r="J48" i="1"/>
  <c r="K48" i="1"/>
  <c r="R309" i="6"/>
  <c r="R279" i="6"/>
  <c r="R249" i="6"/>
  <c r="R219" i="6"/>
  <c r="R189" i="6"/>
  <c r="R159" i="6"/>
  <c r="R129" i="6"/>
  <c r="R296" i="6"/>
  <c r="R295" i="6"/>
  <c r="R266" i="6"/>
  <c r="R265" i="6"/>
  <c r="R236" i="6"/>
  <c r="R235" i="6"/>
  <c r="R206" i="6"/>
  <c r="R205" i="6"/>
  <c r="R176" i="6"/>
  <c r="R175" i="6"/>
  <c r="R146" i="6"/>
  <c r="R145" i="6"/>
  <c r="R116" i="6"/>
  <c r="R115" i="6"/>
  <c r="R297" i="6"/>
  <c r="R267" i="6"/>
  <c r="R237" i="6"/>
  <c r="R207" i="6"/>
  <c r="R177" i="6"/>
  <c r="R147" i="6"/>
  <c r="R117" i="6"/>
  <c r="R99" i="6"/>
  <c r="R55" i="6"/>
  <c r="R43" i="6"/>
  <c r="R31" i="6"/>
  <c r="R311" i="6"/>
  <c r="R282" i="6"/>
  <c r="R264" i="6"/>
  <c r="R250" i="6"/>
  <c r="R191" i="6"/>
  <c r="R162" i="6"/>
  <c r="R144" i="6"/>
  <c r="R130" i="6"/>
  <c r="R86" i="6"/>
  <c r="R85" i="6"/>
  <c r="R72" i="6"/>
  <c r="R69" i="6"/>
  <c r="R281" i="6"/>
  <c r="R252" i="6"/>
  <c r="R234" i="6"/>
  <c r="R220" i="6"/>
  <c r="R161" i="6"/>
  <c r="R132" i="6"/>
  <c r="R114" i="6"/>
  <c r="R87" i="6"/>
  <c r="R84" i="6"/>
  <c r="R22" i="6"/>
  <c r="R20" i="6"/>
  <c r="R19" i="6"/>
  <c r="R310" i="6"/>
  <c r="R251" i="6"/>
  <c r="R222" i="6"/>
  <c r="R204" i="6"/>
  <c r="R190" i="6"/>
  <c r="R131" i="6"/>
  <c r="R101" i="6"/>
  <c r="R100" i="6"/>
  <c r="R57" i="6"/>
  <c r="R56" i="6"/>
  <c r="R45" i="6"/>
  <c r="R44" i="6"/>
  <c r="R33" i="6"/>
  <c r="R32" i="6"/>
  <c r="R312" i="6"/>
  <c r="R46" i="6"/>
  <c r="R160" i="6"/>
  <c r="R34" i="6"/>
  <c r="R280" i="6"/>
  <c r="R174" i="6"/>
  <c r="R71" i="6"/>
  <c r="R21" i="6"/>
  <c r="R294" i="6"/>
  <c r="R102" i="6"/>
  <c r="R70" i="6"/>
  <c r="R221" i="6"/>
  <c r="R58" i="6"/>
  <c r="R192" i="6"/>
  <c r="N274" i="6"/>
  <c r="N216" i="6"/>
  <c r="P312" i="6"/>
  <c r="P282" i="6"/>
  <c r="P252" i="6"/>
  <c r="P222" i="6"/>
  <c r="P192" i="6"/>
  <c r="U187" i="6" s="1"/>
  <c r="P162" i="6"/>
  <c r="U157" i="6" s="1"/>
  <c r="P132" i="6"/>
  <c r="U127" i="6" s="1"/>
  <c r="P309" i="6"/>
  <c r="P279" i="6"/>
  <c r="P249" i="6"/>
  <c r="P219" i="6"/>
  <c r="P189" i="6"/>
  <c r="P159" i="6"/>
  <c r="U154" i="6" s="1"/>
  <c r="P129" i="6"/>
  <c r="U124" i="6" s="1"/>
  <c r="P296" i="6"/>
  <c r="U291" i="6" s="1"/>
  <c r="P295" i="6"/>
  <c r="P266" i="6"/>
  <c r="P265" i="6"/>
  <c r="P236" i="6"/>
  <c r="P235" i="6"/>
  <c r="P206" i="6"/>
  <c r="U201" i="6" s="1"/>
  <c r="P205" i="6"/>
  <c r="U200" i="6" s="1"/>
  <c r="P176" i="6"/>
  <c r="U171" i="6" s="1"/>
  <c r="P175" i="6"/>
  <c r="P146" i="6"/>
  <c r="P145" i="6"/>
  <c r="P116" i="6"/>
  <c r="P115" i="6"/>
  <c r="P294" i="6"/>
  <c r="P280" i="6"/>
  <c r="U275" i="6" s="1"/>
  <c r="P221" i="6"/>
  <c r="U216" i="6" s="1"/>
  <c r="P207" i="6"/>
  <c r="P174" i="6"/>
  <c r="P160" i="6"/>
  <c r="P102" i="6"/>
  <c r="P71" i="6"/>
  <c r="P70" i="6"/>
  <c r="U65" i="6" s="1"/>
  <c r="P58" i="6"/>
  <c r="U53" i="6" s="1"/>
  <c r="P46" i="6"/>
  <c r="U41" i="6" s="1"/>
  <c r="P34" i="6"/>
  <c r="P21" i="6"/>
  <c r="P99" i="6"/>
  <c r="P55" i="6"/>
  <c r="P43" i="6"/>
  <c r="P31" i="6"/>
  <c r="P311" i="6"/>
  <c r="U306" i="6" s="1"/>
  <c r="P297" i="6"/>
  <c r="U292" i="6" s="1"/>
  <c r="P264" i="6"/>
  <c r="P250" i="6"/>
  <c r="P191" i="6"/>
  <c r="P177" i="6"/>
  <c r="P144" i="6"/>
  <c r="P130" i="6"/>
  <c r="P86" i="6"/>
  <c r="U81" i="6" s="1"/>
  <c r="P85" i="6"/>
  <c r="U80" i="6" s="1"/>
  <c r="P72" i="6"/>
  <c r="P69" i="6"/>
  <c r="P281" i="6"/>
  <c r="P267" i="6"/>
  <c r="P234" i="6"/>
  <c r="P220" i="6"/>
  <c r="P161" i="6"/>
  <c r="U156" i="6" s="1"/>
  <c r="P147" i="6"/>
  <c r="U142" i="6" s="1"/>
  <c r="P114" i="6"/>
  <c r="P87" i="6"/>
  <c r="P84" i="6"/>
  <c r="P22" i="6"/>
  <c r="P20" i="6"/>
  <c r="P19" i="6"/>
  <c r="P190" i="6"/>
  <c r="U185" i="6" s="1"/>
  <c r="P56" i="6"/>
  <c r="U51" i="6" s="1"/>
  <c r="P310" i="6"/>
  <c r="U305" i="6" s="1"/>
  <c r="P45" i="6"/>
  <c r="P204" i="6"/>
  <c r="P44" i="6"/>
  <c r="P131" i="6"/>
  <c r="P33" i="6"/>
  <c r="P251" i="6"/>
  <c r="U246" i="6" s="1"/>
  <c r="P117" i="6"/>
  <c r="U112" i="6" s="1"/>
  <c r="P32" i="6"/>
  <c r="P237" i="6"/>
  <c r="P101" i="6"/>
  <c r="P100" i="6"/>
  <c r="P57" i="6"/>
  <c r="U52" i="6" s="1"/>
  <c r="N291" i="6"/>
  <c r="N125" i="6"/>
  <c r="N169" i="6"/>
  <c r="M60" i="4"/>
  <c r="C79" i="4" s="1"/>
  <c r="L53" i="1"/>
  <c r="K57" i="1"/>
  <c r="J57" i="1"/>
  <c r="N66" i="6"/>
  <c r="N28" i="6"/>
  <c r="N126" i="6"/>
  <c r="N246" i="6"/>
  <c r="N199" i="6"/>
  <c r="L263" i="2"/>
  <c r="L12" i="2"/>
  <c r="L179" i="2"/>
  <c r="L43" i="2"/>
  <c r="L277" i="2"/>
  <c r="L13" i="2"/>
  <c r="L22" i="2"/>
  <c r="L206" i="2"/>
  <c r="L23" i="2"/>
  <c r="L94" i="2"/>
  <c r="L178" i="2"/>
  <c r="L108" i="2"/>
  <c r="L95" i="2"/>
  <c r="L32" i="2"/>
  <c r="L192" i="2"/>
  <c r="L109" i="2"/>
  <c r="L33" i="2"/>
  <c r="L193" i="2"/>
  <c r="L123" i="2"/>
  <c r="J28" i="1"/>
  <c r="J29" i="1"/>
  <c r="J12" i="1"/>
  <c r="L12" i="1" s="1"/>
  <c r="J13" i="1"/>
  <c r="L13" i="1" s="1"/>
  <c r="J21" i="1"/>
  <c r="J20" i="1"/>
  <c r="K66" i="4"/>
  <c r="K59" i="4"/>
  <c r="K61" i="4"/>
  <c r="K65" i="4"/>
  <c r="K64" i="4"/>
  <c r="K62" i="4"/>
  <c r="K63" i="4"/>
  <c r="I24" i="5"/>
  <c r="O24" i="5"/>
  <c r="H24" i="5"/>
  <c r="N24" i="5"/>
  <c r="M24" i="5"/>
  <c r="L24" i="5"/>
  <c r="K24" i="5"/>
  <c r="J24" i="5"/>
  <c r="B7" i="5"/>
  <c r="A8" i="5"/>
  <c r="C7" i="2"/>
  <c r="B6" i="2"/>
  <c r="B6" i="3"/>
  <c r="M5" i="3"/>
  <c r="T12" i="3"/>
  <c r="S12" i="3"/>
  <c r="O12" i="3"/>
  <c r="V12" i="3"/>
  <c r="U12" i="3"/>
  <c r="R12" i="3"/>
  <c r="Q12" i="3"/>
  <c r="P12" i="3"/>
  <c r="B79" i="4" l="1"/>
  <c r="E79" i="4"/>
  <c r="F79" i="4"/>
  <c r="D79" i="4"/>
  <c r="G79" i="4"/>
  <c r="H79" i="4"/>
  <c r="I79" i="4"/>
  <c r="N100" i="2"/>
  <c r="N101" i="2"/>
  <c r="N99" i="2"/>
  <c r="Q94" i="2" s="1"/>
  <c r="W41" i="6"/>
  <c r="X46" i="6" s="1"/>
  <c r="Y46" i="6"/>
  <c r="O31" i="3"/>
  <c r="O30" i="3"/>
  <c r="O29" i="3"/>
  <c r="O28" i="3"/>
  <c r="O27" i="3"/>
  <c r="O26" i="3"/>
  <c r="O25" i="3"/>
  <c r="O24" i="3"/>
  <c r="Y85" i="6"/>
  <c r="W80" i="6"/>
  <c r="W85" i="6" s="1"/>
  <c r="X85" i="6"/>
  <c r="W296" i="6"/>
  <c r="Y296" i="6"/>
  <c r="W291" i="6"/>
  <c r="U296" i="6" s="1"/>
  <c r="S31" i="3"/>
  <c r="S30" i="3"/>
  <c r="S29" i="3"/>
  <c r="S28" i="3"/>
  <c r="S27" i="3"/>
  <c r="S26" i="3"/>
  <c r="S25" i="3"/>
  <c r="S24" i="3"/>
  <c r="O268" i="2"/>
  <c r="Q263" i="2" s="1"/>
  <c r="O269" i="2"/>
  <c r="O267" i="2"/>
  <c r="Q262" i="2" s="1"/>
  <c r="W53" i="6"/>
  <c r="Y58" i="6"/>
  <c r="X58" i="6"/>
  <c r="W58" i="6"/>
  <c r="N212" i="2"/>
  <c r="N213" i="2"/>
  <c r="N211" i="2"/>
  <c r="W201" i="6"/>
  <c r="U206" i="6" s="1"/>
  <c r="M66" i="4"/>
  <c r="H85" i="4" s="1"/>
  <c r="Y56" i="6"/>
  <c r="W51" i="6"/>
  <c r="X56" i="6"/>
  <c r="W56" i="6"/>
  <c r="W171" i="6"/>
  <c r="U176" i="6" s="1"/>
  <c r="L20" i="1"/>
  <c r="J24" i="1" s="1"/>
  <c r="W246" i="6"/>
  <c r="U251" i="6" s="1"/>
  <c r="Y251" i="6"/>
  <c r="X251" i="6"/>
  <c r="W251" i="6"/>
  <c r="W275" i="6"/>
  <c r="U280" i="6" s="1"/>
  <c r="M63" i="4"/>
  <c r="C82" i="4" s="1"/>
  <c r="W187" i="6"/>
  <c r="U192" i="6" s="1"/>
  <c r="Y192" i="6"/>
  <c r="X192" i="6"/>
  <c r="W192" i="6"/>
  <c r="W81" i="6"/>
  <c r="W86" i="6" s="1"/>
  <c r="Y86" i="6"/>
  <c r="X86" i="6"/>
  <c r="W124" i="6"/>
  <c r="U129" i="6" s="1"/>
  <c r="X129" i="6"/>
  <c r="W129" i="6"/>
  <c r="Y129" i="6"/>
  <c r="T31" i="3"/>
  <c r="T30" i="3"/>
  <c r="T29" i="3"/>
  <c r="T28" i="3"/>
  <c r="T27" i="3"/>
  <c r="T26" i="3"/>
  <c r="T25" i="3"/>
  <c r="T24" i="3"/>
  <c r="W24" i="3" s="1"/>
  <c r="X14" i="3" s="1"/>
  <c r="U215" i="6"/>
  <c r="W65" i="6"/>
  <c r="Y70" i="6" s="1"/>
  <c r="X70" i="6"/>
  <c r="W70" i="6"/>
  <c r="P31" i="3"/>
  <c r="P30" i="3"/>
  <c r="P29" i="3"/>
  <c r="P28" i="3"/>
  <c r="P27" i="3"/>
  <c r="P26" i="3"/>
  <c r="P25" i="3"/>
  <c r="P24" i="3"/>
  <c r="U15" i="6"/>
  <c r="W15" i="6" s="1"/>
  <c r="W20" i="6" s="1"/>
  <c r="U66" i="6"/>
  <c r="U217" i="6"/>
  <c r="M64" i="4"/>
  <c r="G83" i="4" s="1"/>
  <c r="U95" i="6"/>
  <c r="U39" i="6"/>
  <c r="U17" i="6"/>
  <c r="W17" i="6" s="1"/>
  <c r="W22" i="6" s="1"/>
  <c r="U262" i="6"/>
  <c r="U172" i="6"/>
  <c r="U50" i="6"/>
  <c r="U97" i="6"/>
  <c r="U111" i="6"/>
  <c r="U231" i="6"/>
  <c r="U214" i="6"/>
  <c r="U247" i="6"/>
  <c r="N18" i="2"/>
  <c r="Q13" i="2" s="1"/>
  <c r="S13" i="2" s="1"/>
  <c r="N19" i="2"/>
  <c r="Q14" i="2" s="1"/>
  <c r="S14" i="2" s="1"/>
  <c r="N17" i="2"/>
  <c r="Q12" i="2" s="1"/>
  <c r="S12" i="2" s="1"/>
  <c r="W142" i="6"/>
  <c r="U147" i="6" s="1"/>
  <c r="W127" i="6"/>
  <c r="U132" i="6" s="1"/>
  <c r="Y132" i="6"/>
  <c r="X132" i="6"/>
  <c r="W132" i="6"/>
  <c r="W156" i="6"/>
  <c r="U161" i="6" s="1"/>
  <c r="Y161" i="6"/>
  <c r="X161" i="6"/>
  <c r="W161" i="6"/>
  <c r="N161" i="6" s="1"/>
  <c r="W157" i="6"/>
  <c r="U162" i="6" s="1"/>
  <c r="W162" i="6"/>
  <c r="Y162" i="6"/>
  <c r="L21" i="1"/>
  <c r="K25" i="1"/>
  <c r="J25" i="1"/>
  <c r="U28" i="6"/>
  <c r="U125" i="6"/>
  <c r="U289" i="6"/>
  <c r="U126" i="6"/>
  <c r="U38" i="6"/>
  <c r="U184" i="6"/>
  <c r="U140" i="6"/>
  <c r="U277" i="6"/>
  <c r="O198" i="2"/>
  <c r="O199" i="2"/>
  <c r="O197" i="2"/>
  <c r="W292" i="6"/>
  <c r="U297" i="6" s="1"/>
  <c r="O38" i="2"/>
  <c r="O39" i="2"/>
  <c r="O37" i="2"/>
  <c r="W306" i="6"/>
  <c r="U311" i="6" s="1"/>
  <c r="Y311" i="6"/>
  <c r="X311" i="6"/>
  <c r="W311" i="6"/>
  <c r="U229" i="6"/>
  <c r="U110" i="6"/>
  <c r="Q31" i="3"/>
  <c r="Q30" i="3"/>
  <c r="Q29" i="3"/>
  <c r="Q28" i="3"/>
  <c r="Q27" i="3"/>
  <c r="Q26" i="3"/>
  <c r="Q25" i="3"/>
  <c r="Q24" i="3"/>
  <c r="M65" i="4"/>
  <c r="C84" i="4" s="1"/>
  <c r="O100" i="2"/>
  <c r="O101" i="2"/>
  <c r="Q96" i="2" s="1"/>
  <c r="O99" i="2"/>
  <c r="U96" i="6"/>
  <c r="U79" i="6"/>
  <c r="U186" i="6"/>
  <c r="U155" i="6"/>
  <c r="U260" i="6"/>
  <c r="U31" i="3"/>
  <c r="U27" i="3"/>
  <c r="U30" i="3"/>
  <c r="U26" i="3"/>
  <c r="U29" i="3"/>
  <c r="U25" i="3"/>
  <c r="U28" i="3"/>
  <c r="U24" i="3"/>
  <c r="H25" i="5"/>
  <c r="H26" i="5" s="1"/>
  <c r="M61" i="4"/>
  <c r="H80" i="4" s="1"/>
  <c r="L28" i="1"/>
  <c r="K32" i="1" s="1"/>
  <c r="J32" i="1"/>
  <c r="N114" i="2"/>
  <c r="N115" i="2"/>
  <c r="N113" i="2"/>
  <c r="O48" i="2"/>
  <c r="O49" i="2"/>
  <c r="O47" i="2"/>
  <c r="U232" i="6"/>
  <c r="U40" i="6"/>
  <c r="U82" i="6"/>
  <c r="U64" i="6"/>
  <c r="U245" i="6"/>
  <c r="U16" i="6"/>
  <c r="W16" i="6" s="1"/>
  <c r="W21" i="6" s="1"/>
  <c r="U169" i="6"/>
  <c r="U141" i="6"/>
  <c r="U261" i="6"/>
  <c r="U274" i="6"/>
  <c r="U307" i="6"/>
  <c r="W112" i="6"/>
  <c r="U117" i="6" s="1"/>
  <c r="W216" i="6"/>
  <c r="U221" i="6" s="1"/>
  <c r="Y221" i="6"/>
  <c r="O28" i="2"/>
  <c r="O29" i="2"/>
  <c r="O27" i="2"/>
  <c r="W185" i="6"/>
  <c r="U190" i="6" s="1"/>
  <c r="W200" i="6"/>
  <c r="U205" i="6" s="1"/>
  <c r="X205" i="6"/>
  <c r="U14" i="6"/>
  <c r="W14" i="6" s="1"/>
  <c r="W19" i="6" s="1"/>
  <c r="U26" i="6"/>
  <c r="W154" i="6"/>
  <c r="U159" i="6" s="1"/>
  <c r="X159" i="6"/>
  <c r="W159" i="6"/>
  <c r="M62" i="4"/>
  <c r="F81" i="4" s="1"/>
  <c r="N28" i="2"/>
  <c r="N29" i="2"/>
  <c r="N27" i="2"/>
  <c r="W52" i="6"/>
  <c r="Y57" i="6"/>
  <c r="X57" i="6"/>
  <c r="W57" i="6"/>
  <c r="N57" i="6" s="1"/>
  <c r="U139" i="6"/>
  <c r="U230" i="6"/>
  <c r="O18" i="2"/>
  <c r="O19" i="2"/>
  <c r="O17" i="2"/>
  <c r="R31" i="3"/>
  <c r="R30" i="3"/>
  <c r="R29" i="3"/>
  <c r="R28" i="3"/>
  <c r="R27" i="3"/>
  <c r="R26" i="3"/>
  <c r="R25" i="3"/>
  <c r="R24" i="3"/>
  <c r="K33" i="1"/>
  <c r="J33" i="1"/>
  <c r="L29" i="1"/>
  <c r="U199" i="6"/>
  <c r="U276" i="6"/>
  <c r="U94" i="6"/>
  <c r="U244" i="6"/>
  <c r="V31" i="3"/>
  <c r="V30" i="3"/>
  <c r="V29" i="3"/>
  <c r="V28" i="3"/>
  <c r="V27" i="3"/>
  <c r="V26" i="3"/>
  <c r="V25" i="3"/>
  <c r="V24" i="3"/>
  <c r="M59" i="4"/>
  <c r="F78" i="4" s="1"/>
  <c r="O128" i="2"/>
  <c r="O129" i="2"/>
  <c r="O127" i="2"/>
  <c r="N185" i="2"/>
  <c r="N183" i="2"/>
  <c r="N184" i="2"/>
  <c r="Q179" i="2" s="1"/>
  <c r="O183" i="2"/>
  <c r="O184" i="2"/>
  <c r="O185" i="2"/>
  <c r="U27" i="6"/>
  <c r="W305" i="6"/>
  <c r="U310" i="6" s="1"/>
  <c r="X310" i="6"/>
  <c r="U109" i="6"/>
  <c r="U67" i="6"/>
  <c r="U259" i="6"/>
  <c r="U29" i="6"/>
  <c r="U202" i="6"/>
  <c r="U170" i="6"/>
  <c r="U290" i="6"/>
  <c r="U304" i="6"/>
  <c r="Q180" i="2"/>
  <c r="Q178" i="2"/>
  <c r="C89" i="4"/>
  <c r="K79" i="4"/>
  <c r="J79" i="4" s="1"/>
  <c r="M6" i="3"/>
  <c r="B7" i="3"/>
  <c r="A9" i="5"/>
  <c r="B8" i="5"/>
  <c r="C8" i="2"/>
  <c r="B7" i="2"/>
  <c r="N25" i="3"/>
  <c r="N26" i="3"/>
  <c r="N28" i="3"/>
  <c r="N29" i="3"/>
  <c r="N31" i="3"/>
  <c r="N24" i="3"/>
  <c r="N27" i="3"/>
  <c r="N30" i="3"/>
  <c r="K67" i="4"/>
  <c r="B81" i="4" l="1"/>
  <c r="I78" i="4"/>
  <c r="K78" i="4"/>
  <c r="J78" i="4" s="1"/>
  <c r="B78" i="4"/>
  <c r="G78" i="4"/>
  <c r="H78" i="4"/>
  <c r="B80" i="4"/>
  <c r="C78" i="4"/>
  <c r="C88" i="4" s="1"/>
  <c r="D78" i="4"/>
  <c r="E78" i="4"/>
  <c r="D82" i="4"/>
  <c r="I80" i="4"/>
  <c r="F82" i="4"/>
  <c r="G81" i="4"/>
  <c r="H83" i="4"/>
  <c r="H81" i="4"/>
  <c r="I83" i="4"/>
  <c r="I81" i="4"/>
  <c r="F84" i="4"/>
  <c r="E82" i="4"/>
  <c r="D84" i="4"/>
  <c r="G82" i="4"/>
  <c r="E84" i="4"/>
  <c r="H82" i="4"/>
  <c r="G84" i="4"/>
  <c r="S179" i="2"/>
  <c r="R184" i="2" s="1"/>
  <c r="Q184" i="2"/>
  <c r="S96" i="2"/>
  <c r="Q101" i="2" s="1"/>
  <c r="Q267" i="2"/>
  <c r="R267" i="2"/>
  <c r="S262" i="2"/>
  <c r="L161" i="6"/>
  <c r="I165" i="6"/>
  <c r="J165" i="6"/>
  <c r="S94" i="2"/>
  <c r="Q99" i="2" s="1"/>
  <c r="R99" i="2"/>
  <c r="S263" i="2"/>
  <c r="R268" i="2" s="1"/>
  <c r="O277" i="2" s="1"/>
  <c r="S178" i="2"/>
  <c r="R183" i="2"/>
  <c r="Q183" i="2"/>
  <c r="N131" i="6"/>
  <c r="W126" i="6"/>
  <c r="U131" i="6" s="1"/>
  <c r="Y131" i="6"/>
  <c r="X131" i="6"/>
  <c r="W131" i="6"/>
  <c r="W289" i="6"/>
  <c r="U294" i="6" s="1"/>
  <c r="W111" i="6"/>
  <c r="U116" i="6" s="1"/>
  <c r="C80" i="4"/>
  <c r="C90" i="4" s="1"/>
  <c r="W125" i="6"/>
  <c r="U130" i="6" s="1"/>
  <c r="B83" i="4"/>
  <c r="W117" i="6"/>
  <c r="W64" i="6"/>
  <c r="Y69" i="6" s="1"/>
  <c r="D80" i="4"/>
  <c r="W260" i="6"/>
  <c r="U265" i="6" s="1"/>
  <c r="X265" i="6"/>
  <c r="Y234" i="6"/>
  <c r="X234" i="6"/>
  <c r="W234" i="6"/>
  <c r="W229" i="6"/>
  <c r="U234" i="6" s="1"/>
  <c r="W28" i="6"/>
  <c r="Y33" i="6"/>
  <c r="X33" i="6"/>
  <c r="W33" i="6"/>
  <c r="W50" i="6"/>
  <c r="X55" i="6" s="1"/>
  <c r="Y55" i="6"/>
  <c r="C83" i="4"/>
  <c r="C93" i="4" s="1"/>
  <c r="W66" i="6"/>
  <c r="Y71" i="6"/>
  <c r="X71" i="6"/>
  <c r="W71" i="6"/>
  <c r="N71" i="6" s="1"/>
  <c r="N70" i="6"/>
  <c r="Y176" i="6"/>
  <c r="D85" i="4"/>
  <c r="X206" i="6"/>
  <c r="W169" i="6"/>
  <c r="U174" i="6" s="1"/>
  <c r="W231" i="6"/>
  <c r="U236" i="6" s="1"/>
  <c r="S180" i="2"/>
  <c r="R185" i="2"/>
  <c r="Q185" i="2"/>
  <c r="J61" i="6"/>
  <c r="I61" i="6"/>
  <c r="I85" i="4"/>
  <c r="W202" i="6"/>
  <c r="U207" i="6" s="1"/>
  <c r="W217" i="6"/>
  <c r="U222" i="6" s="1"/>
  <c r="Y222" i="6"/>
  <c r="W259" i="6"/>
  <c r="U264" i="6" s="1"/>
  <c r="W27" i="6"/>
  <c r="X32" i="6" s="1"/>
  <c r="C81" i="4"/>
  <c r="C91" i="4" s="1"/>
  <c r="Y205" i="6"/>
  <c r="X117" i="6"/>
  <c r="W307" i="6"/>
  <c r="U312" i="6" s="1"/>
  <c r="Y312" i="6"/>
  <c r="X312" i="6"/>
  <c r="W82" i="6"/>
  <c r="Y87" i="6" s="1"/>
  <c r="E80" i="4"/>
  <c r="Y160" i="6"/>
  <c r="W155" i="6"/>
  <c r="U160" i="6" s="1"/>
  <c r="X160" i="6"/>
  <c r="W297" i="6"/>
  <c r="N296" i="6" s="1"/>
  <c r="W277" i="6"/>
  <c r="U282" i="6" s="1"/>
  <c r="W282" i="6"/>
  <c r="Y282" i="6"/>
  <c r="W172" i="6"/>
  <c r="U177" i="6" s="1"/>
  <c r="D83" i="4"/>
  <c r="W176" i="6"/>
  <c r="E85" i="4"/>
  <c r="Y206" i="6"/>
  <c r="W139" i="6"/>
  <c r="U144" i="6" s="1"/>
  <c r="W95" i="6"/>
  <c r="U100" i="6" s="1"/>
  <c r="X100" i="6"/>
  <c r="W175" i="6"/>
  <c r="Y175" i="6"/>
  <c r="W170" i="6"/>
  <c r="U175" i="6" s="1"/>
  <c r="X175" i="6"/>
  <c r="Y190" i="6"/>
  <c r="Y280" i="6"/>
  <c r="W245" i="6"/>
  <c r="U250" i="6" s="1"/>
  <c r="W110" i="6"/>
  <c r="U115" i="6" s="1"/>
  <c r="X115" i="6"/>
  <c r="W72" i="6"/>
  <c r="W67" i="6"/>
  <c r="Y72" i="6"/>
  <c r="X72" i="6"/>
  <c r="W244" i="6"/>
  <c r="U249" i="6" s="1"/>
  <c r="X249" i="6"/>
  <c r="D81" i="4"/>
  <c r="Y159" i="6"/>
  <c r="W205" i="6"/>
  <c r="Y117" i="6"/>
  <c r="W274" i="6"/>
  <c r="U279" i="6" s="1"/>
  <c r="Y279" i="6"/>
  <c r="W40" i="6"/>
  <c r="Y45" i="6"/>
  <c r="X45" i="6"/>
  <c r="W45" i="6"/>
  <c r="N45" i="6" s="1"/>
  <c r="L45" i="6" s="1"/>
  <c r="F80" i="4"/>
  <c r="W186" i="6"/>
  <c r="U191" i="6" s="1"/>
  <c r="H84" i="4"/>
  <c r="X297" i="6"/>
  <c r="W140" i="6"/>
  <c r="U145" i="6" s="1"/>
  <c r="W147" i="6"/>
  <c r="W262" i="6"/>
  <c r="U267" i="6" s="1"/>
  <c r="E83" i="4"/>
  <c r="I82" i="4"/>
  <c r="N56" i="6"/>
  <c r="F85" i="4"/>
  <c r="W206" i="6"/>
  <c r="B85" i="4"/>
  <c r="Y310" i="6"/>
  <c r="C85" i="4"/>
  <c r="C95" i="4" s="1"/>
  <c r="Y114" i="6"/>
  <c r="X114" i="6"/>
  <c r="W114" i="6"/>
  <c r="W109" i="6"/>
  <c r="U114" i="6" s="1"/>
  <c r="W94" i="6"/>
  <c r="U99" i="6" s="1"/>
  <c r="Y99" i="6"/>
  <c r="X99" i="6"/>
  <c r="W99" i="6"/>
  <c r="E81" i="4"/>
  <c r="W190" i="6"/>
  <c r="W221" i="6"/>
  <c r="W266" i="6"/>
  <c r="W261" i="6"/>
  <c r="U266" i="6" s="1"/>
  <c r="Y266" i="6"/>
  <c r="X266" i="6"/>
  <c r="Y237" i="6"/>
  <c r="X237" i="6"/>
  <c r="W237" i="6"/>
  <c r="W232" i="6"/>
  <c r="U237" i="6" s="1"/>
  <c r="G80" i="4"/>
  <c r="W79" i="6"/>
  <c r="Y84" i="6" s="1"/>
  <c r="B84" i="4"/>
  <c r="I84" i="4"/>
  <c r="Y297" i="6"/>
  <c r="W184" i="6"/>
  <c r="U189" i="6" s="1"/>
  <c r="Y189" i="6"/>
  <c r="X189" i="6"/>
  <c r="W189" i="6"/>
  <c r="X147" i="6"/>
  <c r="W247" i="6"/>
  <c r="U252" i="6" s="1"/>
  <c r="F83" i="4"/>
  <c r="B82" i="4"/>
  <c r="W280" i="6"/>
  <c r="K24" i="1"/>
  <c r="G85" i="4"/>
  <c r="W46" i="6"/>
  <c r="W290" i="6"/>
  <c r="U295" i="6" s="1"/>
  <c r="X295" i="6"/>
  <c r="Y204" i="6"/>
  <c r="X204" i="6"/>
  <c r="W204" i="6"/>
  <c r="W199" i="6"/>
  <c r="U204" i="6" s="1"/>
  <c r="W97" i="6"/>
  <c r="U102" i="6" s="1"/>
  <c r="Y102" i="6"/>
  <c r="X102" i="6"/>
  <c r="W102" i="6"/>
  <c r="X176" i="6"/>
  <c r="W29" i="6"/>
  <c r="Y34" i="6" s="1"/>
  <c r="W304" i="6"/>
  <c r="U309" i="6" s="1"/>
  <c r="Y309" i="6"/>
  <c r="X309" i="6"/>
  <c r="W309" i="6"/>
  <c r="W310" i="6"/>
  <c r="W276" i="6"/>
  <c r="U281" i="6" s="1"/>
  <c r="W230" i="6"/>
  <c r="U235" i="6" s="1"/>
  <c r="W26" i="6"/>
  <c r="Y31" i="6" s="1"/>
  <c r="X190" i="6"/>
  <c r="X221" i="6"/>
  <c r="W146" i="6"/>
  <c r="N146" i="6" s="1"/>
  <c r="W141" i="6"/>
  <c r="U146" i="6" s="1"/>
  <c r="W96" i="6"/>
  <c r="U101" i="6" s="1"/>
  <c r="Y101" i="6"/>
  <c r="X101" i="6"/>
  <c r="W101" i="6"/>
  <c r="N101" i="6" s="1"/>
  <c r="W38" i="6"/>
  <c r="Y43" i="6" s="1"/>
  <c r="X162" i="6"/>
  <c r="Y147" i="6"/>
  <c r="W214" i="6"/>
  <c r="U219" i="6" s="1"/>
  <c r="Y219" i="6"/>
  <c r="Y44" i="6"/>
  <c r="W39" i="6"/>
  <c r="X44" i="6"/>
  <c r="W44" i="6"/>
  <c r="N44" i="6" s="1"/>
  <c r="L44" i="6" s="1"/>
  <c r="W215" i="6"/>
  <c r="U220" i="6" s="1"/>
  <c r="X280" i="6"/>
  <c r="X296" i="6"/>
  <c r="S267" i="2"/>
  <c r="S268" i="2"/>
  <c r="S101" i="2"/>
  <c r="S184" i="2"/>
  <c r="Q24" i="2"/>
  <c r="S185" i="2"/>
  <c r="Q23" i="2"/>
  <c r="Q22" i="2"/>
  <c r="S183" i="2"/>
  <c r="E41" i="1"/>
  <c r="E33" i="1"/>
  <c r="D33" i="1" s="1"/>
  <c r="D37" i="1" s="1"/>
  <c r="E37" i="1" s="1"/>
  <c r="K85" i="4"/>
  <c r="J85" i="4" s="1"/>
  <c r="K81" i="4"/>
  <c r="J81" i="4" s="1"/>
  <c r="K84" i="4"/>
  <c r="J84" i="4" s="1"/>
  <c r="K80" i="4"/>
  <c r="J80" i="4" s="1"/>
  <c r="K83" i="4"/>
  <c r="J83" i="4" s="1"/>
  <c r="C94" i="4"/>
  <c r="K82" i="4"/>
  <c r="J82" i="4" s="1"/>
  <c r="C92" i="4"/>
  <c r="W26" i="3"/>
  <c r="X16" i="3" s="1"/>
  <c r="W27" i="3"/>
  <c r="X17" i="3" s="1"/>
  <c r="W25" i="3"/>
  <c r="X15" i="3" s="1"/>
  <c r="W28" i="3"/>
  <c r="X18" i="3" s="1"/>
  <c r="W29" i="3"/>
  <c r="X19" i="3" s="1"/>
  <c r="W30" i="3"/>
  <c r="X20" i="3" s="1"/>
  <c r="W31" i="3"/>
  <c r="X21" i="3" s="1"/>
  <c r="M7" i="3"/>
  <c r="B8" i="3"/>
  <c r="B8" i="2"/>
  <c r="C9" i="2"/>
  <c r="B9" i="2" s="1"/>
  <c r="B9" i="5"/>
  <c r="A10" i="5"/>
  <c r="X22" i="3"/>
  <c r="A93" i="4"/>
  <c r="A79" i="4"/>
  <c r="A95" i="4"/>
  <c r="A89" i="4"/>
  <c r="M67" i="4"/>
  <c r="A91" i="4"/>
  <c r="A90" i="4"/>
  <c r="Q277" i="2" l="1"/>
  <c r="O282" i="2"/>
  <c r="L296" i="6"/>
  <c r="J300" i="6"/>
  <c r="I300" i="6"/>
  <c r="N309" i="6"/>
  <c r="N266" i="6"/>
  <c r="I74" i="6"/>
  <c r="J74" i="6"/>
  <c r="L131" i="6"/>
  <c r="I135" i="6"/>
  <c r="J135" i="6"/>
  <c r="Y235" i="6"/>
  <c r="W84" i="6"/>
  <c r="I75" i="6"/>
  <c r="J75" i="6"/>
  <c r="Y130" i="6"/>
  <c r="X84" i="6"/>
  <c r="W145" i="6"/>
  <c r="N145" i="6" s="1"/>
  <c r="L145" i="6" s="1"/>
  <c r="X69" i="6"/>
  <c r="S23" i="2"/>
  <c r="R28" i="2"/>
  <c r="Q28" i="2"/>
  <c r="N33" i="2" s="1"/>
  <c r="W31" i="6"/>
  <c r="W281" i="6"/>
  <c r="N281" i="6" s="1"/>
  <c r="W267" i="6"/>
  <c r="W115" i="6"/>
  <c r="W264" i="6"/>
  <c r="W207" i="6"/>
  <c r="N205" i="6" s="1"/>
  <c r="L205" i="6" s="1"/>
  <c r="X174" i="6"/>
  <c r="Y294" i="6"/>
  <c r="R101" i="2"/>
  <c r="Y220" i="6"/>
  <c r="W294" i="6"/>
  <c r="Y100" i="6"/>
  <c r="X31" i="6"/>
  <c r="X281" i="6"/>
  <c r="Y295" i="6"/>
  <c r="W252" i="6"/>
  <c r="N251" i="6" s="1"/>
  <c r="X267" i="6"/>
  <c r="W250" i="6"/>
  <c r="N250" i="6" s="1"/>
  <c r="W144" i="6"/>
  <c r="N144" i="6" s="1"/>
  <c r="W177" i="6"/>
  <c r="W87" i="6"/>
  <c r="X264" i="6"/>
  <c r="X207" i="6"/>
  <c r="Y174" i="6"/>
  <c r="Y265" i="6"/>
  <c r="L146" i="6"/>
  <c r="I150" i="6"/>
  <c r="J150" i="6"/>
  <c r="I105" i="6"/>
  <c r="J105" i="6"/>
  <c r="N280" i="6"/>
  <c r="S22" i="2"/>
  <c r="R27" i="2" s="1"/>
  <c r="S99" i="2"/>
  <c r="W43" i="6"/>
  <c r="N43" i="6" s="1"/>
  <c r="L43" i="6" s="1"/>
  <c r="L50" i="6" s="1"/>
  <c r="N50" i="6" s="1"/>
  <c r="X146" i="6"/>
  <c r="Y281" i="6"/>
  <c r="W34" i="6"/>
  <c r="W295" i="6"/>
  <c r="N295" i="6" s="1"/>
  <c r="X252" i="6"/>
  <c r="Y267" i="6"/>
  <c r="W191" i="6"/>
  <c r="N191" i="6" s="1"/>
  <c r="X250" i="6"/>
  <c r="X144" i="6"/>
  <c r="X177" i="6"/>
  <c r="W160" i="6"/>
  <c r="X87" i="6"/>
  <c r="Y264" i="6"/>
  <c r="Y207" i="6"/>
  <c r="X236" i="6"/>
  <c r="W265" i="6"/>
  <c r="N265" i="6" s="1"/>
  <c r="L265" i="6" s="1"/>
  <c r="X116" i="6"/>
  <c r="Q268" i="2"/>
  <c r="Y145" i="6"/>
  <c r="Y115" i="6"/>
  <c r="S24" i="2"/>
  <c r="Q29" i="2" s="1"/>
  <c r="N34" i="2" s="1"/>
  <c r="R29" i="2"/>
  <c r="W220" i="6"/>
  <c r="N220" i="6" s="1"/>
  <c r="W219" i="6"/>
  <c r="N219" i="6" s="1"/>
  <c r="X43" i="6"/>
  <c r="Y146" i="6"/>
  <c r="X34" i="6"/>
  <c r="Y252" i="6"/>
  <c r="X191" i="6"/>
  <c r="W279" i="6"/>
  <c r="N279" i="6" s="1"/>
  <c r="Y249" i="6"/>
  <c r="N175" i="6"/>
  <c r="Y144" i="6"/>
  <c r="Y177" i="6"/>
  <c r="W32" i="6"/>
  <c r="W222" i="6"/>
  <c r="N221" i="6" s="1"/>
  <c r="Y236" i="6"/>
  <c r="W55" i="6"/>
  <c r="N55" i="6" s="1"/>
  <c r="W130" i="6"/>
  <c r="Y116" i="6"/>
  <c r="N176" i="6"/>
  <c r="Y32" i="6"/>
  <c r="W69" i="6"/>
  <c r="N69" i="6" s="1"/>
  <c r="W235" i="6"/>
  <c r="N235" i="6" s="1"/>
  <c r="L235" i="6" s="1"/>
  <c r="W174" i="6"/>
  <c r="N174" i="6" s="1"/>
  <c r="X294" i="6"/>
  <c r="H40" i="1"/>
  <c r="J36" i="1" s="1"/>
  <c r="H41" i="1"/>
  <c r="X220" i="6"/>
  <c r="X219" i="6"/>
  <c r="X235" i="6"/>
  <c r="N310" i="6"/>
  <c r="N204" i="6"/>
  <c r="N190" i="6"/>
  <c r="J60" i="6"/>
  <c r="I60" i="6"/>
  <c r="X145" i="6"/>
  <c r="Y191" i="6"/>
  <c r="X279" i="6"/>
  <c r="W249" i="6"/>
  <c r="N249" i="6" s="1"/>
  <c r="Y250" i="6"/>
  <c r="W100" i="6"/>
  <c r="N100" i="6" s="1"/>
  <c r="X282" i="6"/>
  <c r="W312" i="6"/>
  <c r="N311" i="6" s="1"/>
  <c r="X222" i="6"/>
  <c r="W236" i="6"/>
  <c r="N236" i="6" s="1"/>
  <c r="X130" i="6"/>
  <c r="W116" i="6"/>
  <c r="N116" i="6" s="1"/>
  <c r="L184" i="2"/>
  <c r="N194" i="2"/>
  <c r="N193" i="2"/>
  <c r="O276" i="2"/>
  <c r="O110" i="2"/>
  <c r="E40" i="1"/>
  <c r="D40" i="1" s="1"/>
  <c r="E32" i="1"/>
  <c r="D32" i="1" s="1"/>
  <c r="J37" i="1"/>
  <c r="D41" i="1"/>
  <c r="AA12" i="3" a="1"/>
  <c r="AD12" i="3" s="1"/>
  <c r="B10" i="5"/>
  <c r="A11" i="5"/>
  <c r="B9" i="3"/>
  <c r="M9" i="3" s="1"/>
  <c r="M8" i="3"/>
  <c r="A80" i="4"/>
  <c r="A81" i="4"/>
  <c r="A83" i="4"/>
  <c r="A82" i="4"/>
  <c r="A78" i="4"/>
  <c r="A88" i="4"/>
  <c r="A94" i="4"/>
  <c r="A92" i="4"/>
  <c r="A85" i="4"/>
  <c r="A84" i="4"/>
  <c r="Q33" i="2" l="1"/>
  <c r="N38" i="2"/>
  <c r="L36" i="1"/>
  <c r="K40" i="1" s="1"/>
  <c r="N39" i="2"/>
  <c r="Q34" i="2" s="1"/>
  <c r="L221" i="6"/>
  <c r="I225" i="6"/>
  <c r="J225" i="6"/>
  <c r="L219" i="6"/>
  <c r="I223" i="6"/>
  <c r="J223" i="6"/>
  <c r="L174" i="6"/>
  <c r="I178" i="6"/>
  <c r="J178" i="6"/>
  <c r="AD31" i="3"/>
  <c r="AD30" i="3"/>
  <c r="AD29" i="3"/>
  <c r="AD28" i="3"/>
  <c r="AD27" i="3"/>
  <c r="AD26" i="3"/>
  <c r="AD25" i="3"/>
  <c r="AD24" i="3"/>
  <c r="L191" i="6"/>
  <c r="I195" i="6"/>
  <c r="J195" i="6"/>
  <c r="J59" i="6"/>
  <c r="I59" i="6"/>
  <c r="N264" i="6"/>
  <c r="J104" i="6"/>
  <c r="I104" i="6"/>
  <c r="L249" i="6"/>
  <c r="I253" i="6"/>
  <c r="J253" i="6"/>
  <c r="O281" i="2"/>
  <c r="Q276" i="2" s="1"/>
  <c r="N234" i="6"/>
  <c r="J73" i="6"/>
  <c r="G70" i="6" s="1"/>
  <c r="E70" i="6" s="1"/>
  <c r="I73" i="6"/>
  <c r="G69" i="6" s="1"/>
  <c r="E69" i="6" s="1"/>
  <c r="L144" i="6"/>
  <c r="J148" i="6"/>
  <c r="I148" i="6"/>
  <c r="N294" i="6"/>
  <c r="N115" i="6"/>
  <c r="N114" i="6"/>
  <c r="L279" i="6"/>
  <c r="I283" i="6"/>
  <c r="J283" i="6"/>
  <c r="L266" i="6"/>
  <c r="I270" i="6"/>
  <c r="J270" i="6"/>
  <c r="L204" i="6"/>
  <c r="I208" i="6"/>
  <c r="J208" i="6"/>
  <c r="N84" i="6"/>
  <c r="L37" i="1"/>
  <c r="K41" i="1" s="1"/>
  <c r="J41" i="1"/>
  <c r="L236" i="6"/>
  <c r="I240" i="6"/>
  <c r="J240" i="6"/>
  <c r="N206" i="6"/>
  <c r="N99" i="6"/>
  <c r="J187" i="2"/>
  <c r="I187" i="2"/>
  <c r="H187" i="2"/>
  <c r="Q110" i="2"/>
  <c r="O115" i="2"/>
  <c r="Q193" i="2"/>
  <c r="N198" i="2"/>
  <c r="L176" i="6"/>
  <c r="I180" i="6"/>
  <c r="J180" i="6"/>
  <c r="Q27" i="2"/>
  <c r="N32" i="2" s="1"/>
  <c r="N130" i="6"/>
  <c r="N129" i="6"/>
  <c r="I120" i="6"/>
  <c r="J120" i="6"/>
  <c r="N86" i="6"/>
  <c r="N85" i="6"/>
  <c r="L309" i="6"/>
  <c r="I313" i="6"/>
  <c r="J313" i="6"/>
  <c r="Q194" i="2"/>
  <c r="N199" i="2"/>
  <c r="L311" i="6"/>
  <c r="J315" i="6"/>
  <c r="I315" i="6"/>
  <c r="N189" i="6"/>
  <c r="N159" i="6"/>
  <c r="N160" i="6"/>
  <c r="L251" i="6"/>
  <c r="J255" i="6"/>
  <c r="I255" i="6"/>
  <c r="L281" i="6"/>
  <c r="J285" i="6"/>
  <c r="I285" i="6"/>
  <c r="S277" i="2"/>
  <c r="S282" i="2" s="1"/>
  <c r="Q282" i="2"/>
  <c r="N192" i="2"/>
  <c r="L183" i="2"/>
  <c r="K184" i="2"/>
  <c r="O108" i="2"/>
  <c r="AA12" i="3"/>
  <c r="AE12" i="3"/>
  <c r="AB12" i="3"/>
  <c r="AG12" i="3"/>
  <c r="AC12" i="3"/>
  <c r="AF12" i="3"/>
  <c r="AH12" i="3"/>
  <c r="B11" i="5"/>
  <c r="A12" i="5"/>
  <c r="S34" i="2" l="1"/>
  <c r="R39" i="2" s="1"/>
  <c r="S276" i="2"/>
  <c r="S281" i="2" s="1"/>
  <c r="R281" i="2"/>
  <c r="Q281" i="2"/>
  <c r="AB31" i="3"/>
  <c r="AB30" i="3"/>
  <c r="AB29" i="3"/>
  <c r="AB28" i="3"/>
  <c r="AB27" i="3"/>
  <c r="AB26" i="3"/>
  <c r="AB25" i="3"/>
  <c r="AB24" i="3"/>
  <c r="I186" i="2"/>
  <c r="F184" i="2" s="1"/>
  <c r="J186" i="2"/>
  <c r="H186" i="2"/>
  <c r="O113" i="2"/>
  <c r="Q108" i="2" s="1"/>
  <c r="J90" i="6"/>
  <c r="I90" i="6"/>
  <c r="S110" i="2"/>
  <c r="S115" i="2" s="1"/>
  <c r="R115" i="2"/>
  <c r="Q115" i="2"/>
  <c r="L234" i="6"/>
  <c r="I238" i="6"/>
  <c r="J238" i="6"/>
  <c r="Q32" i="2"/>
  <c r="N37" i="2"/>
  <c r="N197" i="2"/>
  <c r="Q192" i="2" s="1"/>
  <c r="J89" i="6"/>
  <c r="I89" i="6"/>
  <c r="AH31" i="3"/>
  <c r="AH30" i="3"/>
  <c r="AH29" i="3"/>
  <c r="AH28" i="3"/>
  <c r="AH27" i="3"/>
  <c r="AH26" i="3"/>
  <c r="AH25" i="3"/>
  <c r="AH24" i="3"/>
  <c r="J103" i="6"/>
  <c r="G100" i="6" s="1"/>
  <c r="I103" i="6"/>
  <c r="G99" i="6" s="1"/>
  <c r="J40" i="1"/>
  <c r="L264" i="6"/>
  <c r="J268" i="6"/>
  <c r="I268" i="6"/>
  <c r="AE31" i="3"/>
  <c r="AE30" i="3"/>
  <c r="AE29" i="3"/>
  <c r="AE28" i="3"/>
  <c r="AE27" i="3"/>
  <c r="AE26" i="3"/>
  <c r="AE25" i="3"/>
  <c r="AE24" i="3"/>
  <c r="AA31" i="3"/>
  <c r="AA30" i="3"/>
  <c r="AA29" i="3"/>
  <c r="AA28" i="3"/>
  <c r="AA27" i="3"/>
  <c r="AA26" i="3"/>
  <c r="AA25" i="3"/>
  <c r="AI25" i="3" s="1"/>
  <c r="AJ15" i="3" s="1"/>
  <c r="AA24" i="3"/>
  <c r="AI24" i="3" s="1"/>
  <c r="AJ14" i="3" s="1"/>
  <c r="AF31" i="3"/>
  <c r="AF30" i="3"/>
  <c r="AF29" i="3"/>
  <c r="AF28" i="3"/>
  <c r="AF27" i="3"/>
  <c r="AF26" i="3"/>
  <c r="AF25" i="3"/>
  <c r="AF24" i="3"/>
  <c r="R282" i="2"/>
  <c r="I88" i="6"/>
  <c r="J88" i="6"/>
  <c r="L189" i="6"/>
  <c r="I193" i="6"/>
  <c r="J193" i="6"/>
  <c r="I118" i="6"/>
  <c r="G114" i="6" s="1"/>
  <c r="J118" i="6"/>
  <c r="G115" i="6" s="1"/>
  <c r="L294" i="6"/>
  <c r="J298" i="6"/>
  <c r="I298" i="6"/>
  <c r="AC31" i="3"/>
  <c r="AC30" i="3"/>
  <c r="AC29" i="3"/>
  <c r="AC28" i="3"/>
  <c r="AI28" i="3" s="1"/>
  <c r="AJ18" i="3" s="1"/>
  <c r="AC27" i="3"/>
  <c r="AI27" i="3" s="1"/>
  <c r="AJ17" i="3" s="1"/>
  <c r="AC26" i="3"/>
  <c r="AC25" i="3"/>
  <c r="AC24" i="3"/>
  <c r="S194" i="2"/>
  <c r="S199" i="2" s="1"/>
  <c r="Q198" i="2"/>
  <c r="S193" i="2"/>
  <c r="S198" i="2" s="1"/>
  <c r="R198" i="2"/>
  <c r="L206" i="6"/>
  <c r="I210" i="6"/>
  <c r="J210" i="6"/>
  <c r="L130" i="6"/>
  <c r="L140" i="6" s="1"/>
  <c r="I134" i="6"/>
  <c r="J134" i="6"/>
  <c r="J119" i="6"/>
  <c r="I119" i="6"/>
  <c r="AG30" i="3"/>
  <c r="AG26" i="3"/>
  <c r="AG29" i="3"/>
  <c r="AG25" i="3"/>
  <c r="AG28" i="3"/>
  <c r="AG24" i="3"/>
  <c r="AG31" i="3"/>
  <c r="AG27" i="3"/>
  <c r="L159" i="6"/>
  <c r="I163" i="6"/>
  <c r="J163" i="6"/>
  <c r="L129" i="6"/>
  <c r="I133" i="6"/>
  <c r="J133" i="6"/>
  <c r="G130" i="6" s="1"/>
  <c r="S33" i="2"/>
  <c r="Q38" i="2" s="1"/>
  <c r="K183" i="2"/>
  <c r="F185" i="2"/>
  <c r="F183" i="2"/>
  <c r="AI30" i="3"/>
  <c r="AJ20" i="3" s="1"/>
  <c r="A13" i="5"/>
  <c r="B12" i="5"/>
  <c r="Z31" i="3"/>
  <c r="Z24" i="3"/>
  <c r="Z25" i="3"/>
  <c r="Z27" i="3"/>
  <c r="Z30" i="3"/>
  <c r="Z26" i="3"/>
  <c r="Z29" i="3"/>
  <c r="Z28" i="3"/>
  <c r="Q113" i="2" l="1"/>
  <c r="S108" i="2"/>
  <c r="S113" i="2" s="1"/>
  <c r="R113" i="2"/>
  <c r="D188" i="2"/>
  <c r="C188" i="2"/>
  <c r="B188" i="2"/>
  <c r="R197" i="2"/>
  <c r="Q197" i="2"/>
  <c r="L197" i="2" s="1"/>
  <c r="S192" i="2"/>
  <c r="S197" i="2" s="1"/>
  <c r="AL17" i="3"/>
  <c r="AH37" i="3" s="1"/>
  <c r="AC37" i="3"/>
  <c r="AB37" i="3"/>
  <c r="AA37" i="3"/>
  <c r="AL18" i="3"/>
  <c r="AA38" i="3" s="1"/>
  <c r="AD38" i="3"/>
  <c r="AC38" i="3"/>
  <c r="AB38" i="3"/>
  <c r="AF35" i="3"/>
  <c r="AE35" i="3"/>
  <c r="AD35" i="3"/>
  <c r="AC35" i="3"/>
  <c r="AB35" i="3"/>
  <c r="AL15" i="3"/>
  <c r="AA35" i="3"/>
  <c r="AH35" i="3"/>
  <c r="AG35" i="3"/>
  <c r="AF34" i="3"/>
  <c r="AE34" i="3"/>
  <c r="AD34" i="3"/>
  <c r="AC34" i="3"/>
  <c r="AL14" i="3"/>
  <c r="AB34" i="3" s="1"/>
  <c r="AH34" i="3"/>
  <c r="AG34" i="3"/>
  <c r="D187" i="2"/>
  <c r="B187" i="2"/>
  <c r="C187" i="2"/>
  <c r="N140" i="6"/>
  <c r="L155" i="6"/>
  <c r="R38" i="2"/>
  <c r="AF40" i="3"/>
  <c r="AE40" i="3"/>
  <c r="AD40" i="3"/>
  <c r="AC40" i="3"/>
  <c r="AL20" i="3"/>
  <c r="AB40" i="3" s="1"/>
  <c r="D119" i="6"/>
  <c r="C119" i="6"/>
  <c r="B119" i="6"/>
  <c r="D189" i="2"/>
  <c r="B189" i="2"/>
  <c r="C189" i="2"/>
  <c r="B118" i="6"/>
  <c r="D118" i="6"/>
  <c r="C118" i="6"/>
  <c r="D104" i="6"/>
  <c r="C104" i="6"/>
  <c r="B104" i="6"/>
  <c r="S32" i="2"/>
  <c r="R37" i="2" s="1"/>
  <c r="L38" i="2" s="1"/>
  <c r="K38" i="2" s="1"/>
  <c r="C103" i="6"/>
  <c r="B103" i="6"/>
  <c r="D103" i="6"/>
  <c r="D134" i="6"/>
  <c r="C134" i="6"/>
  <c r="B134" i="6"/>
  <c r="G129" i="6"/>
  <c r="G85" i="6"/>
  <c r="Q39" i="2"/>
  <c r="Q199" i="2"/>
  <c r="R199" i="2"/>
  <c r="G84" i="6"/>
  <c r="E185" i="2"/>
  <c r="E184" i="2"/>
  <c r="E183" i="2"/>
  <c r="AV34" i="3"/>
  <c r="AI31" i="3"/>
  <c r="AJ21" i="3" s="1"/>
  <c r="AI29" i="3"/>
  <c r="AJ19" i="3" s="1"/>
  <c r="AI26" i="3"/>
  <c r="AJ16" i="3" s="1"/>
  <c r="AJ37" i="3"/>
  <c r="AI37" i="3" s="1"/>
  <c r="AJ40" i="3"/>
  <c r="AI40" i="3" s="1"/>
  <c r="AJ38" i="3"/>
  <c r="AI38" i="3" s="1"/>
  <c r="AV33" i="3"/>
  <c r="B13" i="5"/>
  <c r="A14" i="5"/>
  <c r="AO34" i="3"/>
  <c r="AJ22" i="3"/>
  <c r="AO33" i="3"/>
  <c r="J200" i="2" l="1"/>
  <c r="I200" i="2"/>
  <c r="H200" i="2"/>
  <c r="L198" i="2"/>
  <c r="AF36" i="3"/>
  <c r="AE36" i="3"/>
  <c r="AD36" i="3"/>
  <c r="AC36" i="3"/>
  <c r="AL16" i="3"/>
  <c r="AB36" i="3" s="1"/>
  <c r="AA36" i="3"/>
  <c r="AH36" i="3"/>
  <c r="AG36" i="3"/>
  <c r="AV35" i="3" s="1"/>
  <c r="C89" i="6"/>
  <c r="B89" i="6"/>
  <c r="D89" i="6"/>
  <c r="AH40" i="3"/>
  <c r="AG38" i="3"/>
  <c r="AF38" i="3"/>
  <c r="AE37" i="3"/>
  <c r="Q37" i="2"/>
  <c r="L37" i="2" s="1"/>
  <c r="K37" i="2" s="1"/>
  <c r="K42" i="2" s="1"/>
  <c r="L42" i="2" s="1"/>
  <c r="AG40" i="3"/>
  <c r="AE38" i="3"/>
  <c r="AF39" i="3"/>
  <c r="AL19" i="3"/>
  <c r="AE39" i="3"/>
  <c r="AD39" i="3"/>
  <c r="AC39" i="3"/>
  <c r="AB39" i="3"/>
  <c r="AA39" i="3"/>
  <c r="AH39" i="3"/>
  <c r="AG39" i="3"/>
  <c r="AA40" i="3"/>
  <c r="N155" i="6"/>
  <c r="AA34" i="3"/>
  <c r="AH38" i="3"/>
  <c r="AG37" i="3"/>
  <c r="AV36" i="3" s="1"/>
  <c r="AF37" i="3"/>
  <c r="AD37" i="3"/>
  <c r="AL21" i="3"/>
  <c r="AF41" i="3" s="1"/>
  <c r="C88" i="6"/>
  <c r="B88" i="6"/>
  <c r="D88" i="6"/>
  <c r="D133" i="6"/>
  <c r="B133" i="6"/>
  <c r="C133" i="6"/>
  <c r="J149" i="6"/>
  <c r="G145" i="6" s="1"/>
  <c r="I149" i="6"/>
  <c r="G144" i="6" s="1"/>
  <c r="K197" i="2"/>
  <c r="AJ35" i="3"/>
  <c r="AI35" i="3" s="1"/>
  <c r="AJ39" i="3"/>
  <c r="AI39" i="3" s="1"/>
  <c r="AV39" i="3"/>
  <c r="AJ36" i="3"/>
  <c r="AI36" i="3" s="1"/>
  <c r="AV37" i="3"/>
  <c r="AJ34" i="3"/>
  <c r="AI34" i="3" s="1"/>
  <c r="A15" i="5"/>
  <c r="B14" i="5"/>
  <c r="AO36" i="3"/>
  <c r="AO35" i="3"/>
  <c r="AO37" i="3"/>
  <c r="Z35" i="3"/>
  <c r="Z37" i="3"/>
  <c r="Z38" i="3"/>
  <c r="Z40" i="3"/>
  <c r="Z34" i="3"/>
  <c r="AO39" i="3"/>
  <c r="AL22" i="3"/>
  <c r="Y37" i="3" l="1"/>
  <c r="J201" i="2"/>
  <c r="F199" i="2" s="1"/>
  <c r="I201" i="2"/>
  <c r="F198" i="2" s="1"/>
  <c r="H201" i="2"/>
  <c r="F197" i="2" s="1"/>
  <c r="K198" i="2"/>
  <c r="K207" i="2" s="1"/>
  <c r="L207" i="2" s="1"/>
  <c r="D149" i="6"/>
  <c r="C149" i="6"/>
  <c r="B149" i="6"/>
  <c r="AH41" i="3"/>
  <c r="N48" i="2"/>
  <c r="Q43" i="2" s="1"/>
  <c r="N49" i="2"/>
  <c r="Q44" i="2" s="1"/>
  <c r="N47" i="2"/>
  <c r="Q42" i="2" s="1"/>
  <c r="J164" i="6"/>
  <c r="G160" i="6" s="1"/>
  <c r="I164" i="6"/>
  <c r="G159" i="6" s="1"/>
  <c r="L160" i="6"/>
  <c r="L170" i="6" s="1"/>
  <c r="AE41" i="3"/>
  <c r="AA41" i="3"/>
  <c r="AB41" i="3"/>
  <c r="AC41" i="3"/>
  <c r="AD41" i="3"/>
  <c r="D148" i="6"/>
  <c r="C148" i="6"/>
  <c r="B148" i="6"/>
  <c r="AG41" i="3"/>
  <c r="AV40" i="3" s="1"/>
  <c r="E198" i="2"/>
  <c r="E199" i="2"/>
  <c r="Y38" i="3"/>
  <c r="Y35" i="3"/>
  <c r="Y40" i="3"/>
  <c r="Y34" i="3"/>
  <c r="X37" i="3"/>
  <c r="W37" i="3" s="1"/>
  <c r="AJ41" i="3"/>
  <c r="AI41" i="3" s="1"/>
  <c r="AV38" i="3"/>
  <c r="A16" i="5"/>
  <c r="B15" i="5"/>
  <c r="Z41" i="3"/>
  <c r="Z36" i="3"/>
  <c r="AO38" i="3"/>
  <c r="AO40" i="3"/>
  <c r="Z39" i="3"/>
  <c r="O212" i="2" l="1"/>
  <c r="Q207" i="2" s="1"/>
  <c r="O213" i="2"/>
  <c r="Q208" i="2" s="1"/>
  <c r="O211" i="2"/>
  <c r="Q206" i="2" s="1"/>
  <c r="D201" i="2"/>
  <c r="C201" i="2"/>
  <c r="B201" i="2"/>
  <c r="S42" i="2"/>
  <c r="R47" i="2"/>
  <c r="Q47" i="2"/>
  <c r="O38" i="3"/>
  <c r="O50" i="3" s="1"/>
  <c r="V38" i="3"/>
  <c r="U38" i="3"/>
  <c r="R38" i="3"/>
  <c r="T38" i="3"/>
  <c r="Q38" i="3"/>
  <c r="P38" i="3"/>
  <c r="S38" i="3"/>
  <c r="C202" i="2"/>
  <c r="B202" i="2"/>
  <c r="D202" i="2"/>
  <c r="Q40" i="3"/>
  <c r="P40" i="3"/>
  <c r="S40" i="3"/>
  <c r="O40" i="3"/>
  <c r="O52" i="3" s="1"/>
  <c r="R40" i="3"/>
  <c r="V40" i="3"/>
  <c r="T40" i="3"/>
  <c r="U40" i="3"/>
  <c r="S44" i="2"/>
  <c r="R49" i="2" s="1"/>
  <c r="E197" i="2"/>
  <c r="N170" i="6"/>
  <c r="D203" i="2"/>
  <c r="C203" i="2"/>
  <c r="B203" i="2"/>
  <c r="E160" i="6"/>
  <c r="C164" i="6"/>
  <c r="D164" i="6"/>
  <c r="B164" i="6"/>
  <c r="S35" i="3"/>
  <c r="R35" i="3"/>
  <c r="U35" i="3"/>
  <c r="Q35" i="3"/>
  <c r="P35" i="3"/>
  <c r="V35" i="3"/>
  <c r="T35" i="3"/>
  <c r="O35" i="3"/>
  <c r="O47" i="3" s="1"/>
  <c r="R48" i="2"/>
  <c r="Q48" i="2"/>
  <c r="S43" i="2"/>
  <c r="P34" i="3"/>
  <c r="O34" i="3"/>
  <c r="O46" i="3" s="1"/>
  <c r="S34" i="3"/>
  <c r="R34" i="3"/>
  <c r="Q34" i="3"/>
  <c r="V34" i="3"/>
  <c r="U34" i="3"/>
  <c r="T34" i="3"/>
  <c r="E159" i="6"/>
  <c r="D163" i="6"/>
  <c r="C163" i="6"/>
  <c r="B163" i="6"/>
  <c r="S37" i="3"/>
  <c r="T37" i="3"/>
  <c r="R37" i="3"/>
  <c r="V37" i="3"/>
  <c r="Q37" i="3"/>
  <c r="P37" i="3"/>
  <c r="U37" i="3"/>
  <c r="O37" i="3"/>
  <c r="X34" i="3"/>
  <c r="W34" i="3" s="1"/>
  <c r="Y39" i="3"/>
  <c r="Y41" i="3"/>
  <c r="Y36" i="3"/>
  <c r="X40" i="3"/>
  <c r="W40" i="3" s="1"/>
  <c r="X35" i="3"/>
  <c r="W35" i="3" s="1"/>
  <c r="X38" i="3"/>
  <c r="W38" i="3" s="1"/>
  <c r="A17" i="5"/>
  <c r="B16" i="5"/>
  <c r="N46" i="3"/>
  <c r="N50" i="3"/>
  <c r="N47" i="3"/>
  <c r="N52" i="3"/>
  <c r="N37" i="3"/>
  <c r="N34" i="3"/>
  <c r="N38" i="3"/>
  <c r="M37" i="3" l="1"/>
  <c r="S208" i="2"/>
  <c r="S213" i="2" s="1"/>
  <c r="S206" i="2"/>
  <c r="S211" i="2" s="1"/>
  <c r="R211" i="2"/>
  <c r="Q211" i="2"/>
  <c r="P41" i="3"/>
  <c r="O41" i="3"/>
  <c r="Q41" i="3"/>
  <c r="V41" i="3"/>
  <c r="U41" i="3"/>
  <c r="S41" i="3"/>
  <c r="T41" i="3"/>
  <c r="R41" i="3"/>
  <c r="L47" i="2"/>
  <c r="S207" i="2"/>
  <c r="S212" i="2" s="1"/>
  <c r="O39" i="3"/>
  <c r="O51" i="3" s="1"/>
  <c r="V39" i="3"/>
  <c r="R39" i="3"/>
  <c r="U39" i="3"/>
  <c r="T39" i="3"/>
  <c r="Q39" i="3"/>
  <c r="P39" i="3"/>
  <c r="S39" i="3"/>
  <c r="Q49" i="2"/>
  <c r="L48" i="2"/>
  <c r="J179" i="6"/>
  <c r="G175" i="6" s="1"/>
  <c r="I179" i="6"/>
  <c r="G174" i="6" s="1"/>
  <c r="L175" i="6"/>
  <c r="L185" i="6" s="1"/>
  <c r="O49" i="3"/>
  <c r="U36" i="3"/>
  <c r="T36" i="3"/>
  <c r="P36" i="3"/>
  <c r="S36" i="3"/>
  <c r="R36" i="3"/>
  <c r="O36" i="3"/>
  <c r="O48" i="3" s="1"/>
  <c r="V36" i="3"/>
  <c r="Q36" i="3"/>
  <c r="M38" i="3"/>
  <c r="M34" i="3"/>
  <c r="X36" i="3"/>
  <c r="W36" i="3" s="1"/>
  <c r="X41" i="3"/>
  <c r="W41" i="3" s="1"/>
  <c r="O53" i="3"/>
  <c r="L37" i="3"/>
  <c r="K37" i="3" s="1"/>
  <c r="X39" i="3"/>
  <c r="W39" i="3" s="1"/>
  <c r="A18" i="5"/>
  <c r="B17" i="5"/>
  <c r="N40" i="3"/>
  <c r="N51" i="3"/>
  <c r="Y42" i="3"/>
  <c r="N35" i="3"/>
  <c r="N53" i="3"/>
  <c r="N39" i="3"/>
  <c r="N49" i="3"/>
  <c r="N48" i="3"/>
  <c r="N41" i="3"/>
  <c r="M35" i="3" l="1"/>
  <c r="M40" i="3"/>
  <c r="E174" i="6"/>
  <c r="D178" i="6"/>
  <c r="C178" i="6"/>
  <c r="B178" i="6"/>
  <c r="E175" i="6"/>
  <c r="D179" i="6"/>
  <c r="B179" i="6"/>
  <c r="C179" i="6"/>
  <c r="I35" i="3"/>
  <c r="H35" i="3"/>
  <c r="J35" i="3"/>
  <c r="G35" i="3"/>
  <c r="F35" i="3"/>
  <c r="D35" i="3"/>
  <c r="E35" i="3"/>
  <c r="C35" i="3"/>
  <c r="D34" i="3"/>
  <c r="E34" i="3"/>
  <c r="C34" i="3"/>
  <c r="J34" i="3"/>
  <c r="I34" i="3"/>
  <c r="I46" i="3" s="1"/>
  <c r="I56" i="3" s="1"/>
  <c r="F34" i="3"/>
  <c r="H34" i="3"/>
  <c r="G34" i="3"/>
  <c r="Q213" i="2"/>
  <c r="J40" i="3"/>
  <c r="I40" i="3"/>
  <c r="E40" i="3"/>
  <c r="D40" i="3"/>
  <c r="H40" i="3"/>
  <c r="C40" i="3"/>
  <c r="G40" i="3"/>
  <c r="F40" i="3"/>
  <c r="H38" i="3"/>
  <c r="J38" i="3"/>
  <c r="I38" i="3"/>
  <c r="I50" i="3" s="1"/>
  <c r="I60" i="3" s="1"/>
  <c r="G38" i="3"/>
  <c r="C38" i="3"/>
  <c r="F38" i="3"/>
  <c r="E38" i="3"/>
  <c r="D38" i="3"/>
  <c r="Q212" i="2"/>
  <c r="L211" i="2" s="1"/>
  <c r="R213" i="2"/>
  <c r="I50" i="2"/>
  <c r="H50" i="2"/>
  <c r="H54" i="2" s="1"/>
  <c r="J50" i="2"/>
  <c r="K47" i="2"/>
  <c r="J51" i="2"/>
  <c r="H51" i="2"/>
  <c r="H55" i="2" s="1"/>
  <c r="I51" i="2"/>
  <c r="K48" i="2"/>
  <c r="N185" i="6"/>
  <c r="R212" i="2"/>
  <c r="L212" i="2" s="1"/>
  <c r="G37" i="3"/>
  <c r="F37" i="3"/>
  <c r="E37" i="3"/>
  <c r="H37" i="3"/>
  <c r="D37" i="3"/>
  <c r="J37" i="3"/>
  <c r="C37" i="3"/>
  <c r="I37" i="3"/>
  <c r="I49" i="3" s="1"/>
  <c r="M39" i="3"/>
  <c r="M41" i="3"/>
  <c r="L35" i="3"/>
  <c r="K35" i="3" s="1"/>
  <c r="I47" i="3"/>
  <c r="I57" i="3" s="1"/>
  <c r="L40" i="3"/>
  <c r="K40" i="3" s="1"/>
  <c r="I52" i="3"/>
  <c r="I62" i="3" s="1"/>
  <c r="L34" i="3"/>
  <c r="L38" i="3"/>
  <c r="K38" i="3" s="1"/>
  <c r="A19" i="5"/>
  <c r="B18" i="5"/>
  <c r="N36" i="3"/>
  <c r="B52" i="3"/>
  <c r="B37" i="3"/>
  <c r="B38" i="3"/>
  <c r="B34" i="3"/>
  <c r="B35" i="3"/>
  <c r="B49" i="3"/>
  <c r="B40" i="3"/>
  <c r="M36" i="3" l="1"/>
  <c r="J215" i="2"/>
  <c r="J221" i="2" s="1"/>
  <c r="I215" i="2"/>
  <c r="H215" i="2"/>
  <c r="K212" i="2"/>
  <c r="H214" i="2"/>
  <c r="F211" i="2" s="1"/>
  <c r="J214" i="2"/>
  <c r="F213" i="2" s="1"/>
  <c r="I214" i="2"/>
  <c r="F212" i="2" s="1"/>
  <c r="K211" i="2"/>
  <c r="L54" i="2"/>
  <c r="H59" i="2"/>
  <c r="F39" i="3"/>
  <c r="E39" i="3"/>
  <c r="D39" i="3"/>
  <c r="G39" i="3"/>
  <c r="C39" i="3"/>
  <c r="I39" i="3"/>
  <c r="I51" i="3" s="1"/>
  <c r="I61" i="3" s="1"/>
  <c r="H39" i="3"/>
  <c r="J39" i="3"/>
  <c r="J194" i="6"/>
  <c r="G190" i="6" s="1"/>
  <c r="I194" i="6"/>
  <c r="G189" i="6" s="1"/>
  <c r="L190" i="6"/>
  <c r="L200" i="6" s="1"/>
  <c r="C41" i="3"/>
  <c r="J41" i="3"/>
  <c r="I41" i="3"/>
  <c r="I53" i="3" s="1"/>
  <c r="I63" i="3" s="1"/>
  <c r="H41" i="3"/>
  <c r="F41" i="3"/>
  <c r="E41" i="3"/>
  <c r="G41" i="3"/>
  <c r="D41" i="3"/>
  <c r="I59" i="3"/>
  <c r="H60" i="2"/>
  <c r="L55" i="2" s="1"/>
  <c r="C36" i="3"/>
  <c r="J36" i="3"/>
  <c r="E36" i="3"/>
  <c r="I36" i="3"/>
  <c r="H36" i="3"/>
  <c r="D36" i="3"/>
  <c r="G36" i="3"/>
  <c r="F36" i="3"/>
  <c r="J220" i="2"/>
  <c r="K59" i="3"/>
  <c r="L49" i="3" s="1"/>
  <c r="Z49" i="3" s="1"/>
  <c r="L41" i="3"/>
  <c r="K41" i="3" s="1"/>
  <c r="K34" i="3"/>
  <c r="L36" i="3"/>
  <c r="K36" i="3" s="1"/>
  <c r="I48" i="3"/>
  <c r="I58" i="3" s="1"/>
  <c r="L39" i="3"/>
  <c r="K39" i="3" s="1"/>
  <c r="A20" i="5"/>
  <c r="B19" i="5"/>
  <c r="M42" i="3"/>
  <c r="B57" i="3"/>
  <c r="B47" i="3"/>
  <c r="B46" i="3"/>
  <c r="B56" i="3"/>
  <c r="B62" i="3"/>
  <c r="B60" i="3"/>
  <c r="B50" i="3"/>
  <c r="B41" i="3"/>
  <c r="B39" i="3"/>
  <c r="B59" i="3"/>
  <c r="D217" i="2" l="1"/>
  <c r="C217" i="2"/>
  <c r="B217" i="2"/>
  <c r="O60" i="2"/>
  <c r="O61" i="2"/>
  <c r="O59" i="2"/>
  <c r="C216" i="2"/>
  <c r="B216" i="2"/>
  <c r="D216" i="2"/>
  <c r="J225" i="2"/>
  <c r="L220" i="2" s="1"/>
  <c r="L215" i="6"/>
  <c r="N200" i="6"/>
  <c r="E212" i="2"/>
  <c r="D215" i="2"/>
  <c r="C215" i="2"/>
  <c r="B215" i="2"/>
  <c r="E211" i="2"/>
  <c r="E190" i="6"/>
  <c r="B194" i="6"/>
  <c r="C194" i="6"/>
  <c r="D194" i="6"/>
  <c r="E189" i="6"/>
  <c r="B193" i="6"/>
  <c r="D193" i="6"/>
  <c r="C193" i="6"/>
  <c r="N60" i="2"/>
  <c r="Q55" i="2" s="1"/>
  <c r="N61" i="2"/>
  <c r="N59" i="2"/>
  <c r="J226" i="2"/>
  <c r="L221" i="2" s="1"/>
  <c r="G45" i="5" a="1"/>
  <c r="N45" i="5" s="1"/>
  <c r="G44" i="5" a="1"/>
  <c r="H44" i="5" s="1"/>
  <c r="E213" i="2"/>
  <c r="K60" i="3"/>
  <c r="L50" i="3" s="1"/>
  <c r="Z50" i="3" s="1"/>
  <c r="K57" i="3"/>
  <c r="L47" i="3" s="1"/>
  <c r="Z47" i="3" s="1"/>
  <c r="K56" i="3"/>
  <c r="L46" i="3" s="1"/>
  <c r="Z46" i="3" s="1"/>
  <c r="K62" i="3"/>
  <c r="L52" i="3" s="1"/>
  <c r="Z52" i="3" s="1"/>
  <c r="A21" i="5"/>
  <c r="B21" i="5" s="1"/>
  <c r="B20" i="5"/>
  <c r="B53" i="3"/>
  <c r="B61" i="3"/>
  <c r="B36" i="3"/>
  <c r="B51" i="3"/>
  <c r="B63" i="3"/>
  <c r="B48" i="3"/>
  <c r="B58" i="3"/>
  <c r="G44" i="5" l="1"/>
  <c r="O227" i="2"/>
  <c r="O225" i="2"/>
  <c r="O226" i="2"/>
  <c r="N226" i="2"/>
  <c r="Q221" i="2" s="1"/>
  <c r="N227" i="2"/>
  <c r="Q222" i="2" s="1"/>
  <c r="N225" i="2"/>
  <c r="J209" i="6"/>
  <c r="G205" i="6" s="1"/>
  <c r="I209" i="6"/>
  <c r="G204" i="6" s="1"/>
  <c r="S55" i="2"/>
  <c r="Q60" i="2" s="1"/>
  <c r="R60" i="2"/>
  <c r="N215" i="6"/>
  <c r="I45" i="5"/>
  <c r="H45" i="5"/>
  <c r="K45" i="5"/>
  <c r="Q54" i="2"/>
  <c r="L45" i="5"/>
  <c r="J45" i="5"/>
  <c r="Q56" i="2"/>
  <c r="M45" i="5"/>
  <c r="G45" i="5"/>
  <c r="I44" i="5"/>
  <c r="K44" i="5"/>
  <c r="J44" i="5"/>
  <c r="N44" i="5"/>
  <c r="M44" i="5"/>
  <c r="L44" i="5"/>
  <c r="K63" i="3"/>
  <c r="L53" i="3" s="1"/>
  <c r="Z53" i="3" s="1"/>
  <c r="K61" i="3"/>
  <c r="L51" i="3" s="1"/>
  <c r="Z51" i="3" s="1"/>
  <c r="K58" i="3"/>
  <c r="L48" i="3" s="1"/>
  <c r="Z48" i="3" s="1"/>
  <c r="E204" i="6" l="1"/>
  <c r="B208" i="6"/>
  <c r="C208" i="6"/>
  <c r="D208" i="6"/>
  <c r="S221" i="2"/>
  <c r="S226" i="2" s="1"/>
  <c r="R226" i="2"/>
  <c r="Q226" i="2"/>
  <c r="S222" i="2"/>
  <c r="S227" i="2" s="1"/>
  <c r="S56" i="2"/>
  <c r="Q61" i="2" s="1"/>
  <c r="R61" i="2"/>
  <c r="J224" i="6"/>
  <c r="G220" i="6" s="1"/>
  <c r="I224" i="6"/>
  <c r="G219" i="6" s="1"/>
  <c r="L220" i="6"/>
  <c r="L230" i="6" s="1"/>
  <c r="S54" i="2"/>
  <c r="R59" i="2" s="1"/>
  <c r="L60" i="2" s="1"/>
  <c r="E205" i="6"/>
  <c r="D209" i="6"/>
  <c r="C209" i="6"/>
  <c r="B209" i="6"/>
  <c r="Q220" i="2"/>
  <c r="O44" i="3" a="1"/>
  <c r="P44" i="3" s="1"/>
  <c r="L54" i="3"/>
  <c r="Z54" i="3"/>
  <c r="G46" i="5" l="1" a="1"/>
  <c r="M46" i="5" s="1"/>
  <c r="K60" i="2"/>
  <c r="H63" i="2"/>
  <c r="J63" i="2"/>
  <c r="I63" i="2"/>
  <c r="E219" i="6"/>
  <c r="C223" i="6"/>
  <c r="B223" i="6"/>
  <c r="D223" i="6"/>
  <c r="L245" i="6"/>
  <c r="N230" i="6"/>
  <c r="S220" i="2"/>
  <c r="S225" i="2" s="1"/>
  <c r="R225" i="2"/>
  <c r="L226" i="2" s="1"/>
  <c r="E220" i="6"/>
  <c r="C224" i="6"/>
  <c r="B224" i="6"/>
  <c r="D224" i="6"/>
  <c r="Q59" i="2"/>
  <c r="L59" i="2" s="1"/>
  <c r="Q227" i="2"/>
  <c r="P63" i="3"/>
  <c r="P62" i="3"/>
  <c r="P61" i="3"/>
  <c r="P60" i="3"/>
  <c r="P59" i="3"/>
  <c r="P58" i="3"/>
  <c r="P57" i="3"/>
  <c r="P56" i="3"/>
  <c r="R227" i="2"/>
  <c r="K226" i="2"/>
  <c r="O44" i="3"/>
  <c r="T44" i="3"/>
  <c r="V44" i="3"/>
  <c r="R44" i="3"/>
  <c r="S44" i="3"/>
  <c r="U44" i="3"/>
  <c r="Q44" i="3"/>
  <c r="I46" i="5" l="1"/>
  <c r="H46" i="5"/>
  <c r="N46" i="5"/>
  <c r="J46" i="5"/>
  <c r="G46" i="5"/>
  <c r="L46" i="5"/>
  <c r="K46" i="5"/>
  <c r="R63" i="3"/>
  <c r="R62" i="3"/>
  <c r="R61" i="3"/>
  <c r="R60" i="3"/>
  <c r="R59" i="3"/>
  <c r="R58" i="3"/>
  <c r="R57" i="3"/>
  <c r="R56" i="3"/>
  <c r="U61" i="3"/>
  <c r="U60" i="3"/>
  <c r="U59" i="3"/>
  <c r="U58" i="3"/>
  <c r="U57" i="3"/>
  <c r="U56" i="3"/>
  <c r="U63" i="3"/>
  <c r="U62" i="3"/>
  <c r="S63" i="3"/>
  <c r="S62" i="3"/>
  <c r="S61" i="3"/>
  <c r="S60" i="3"/>
  <c r="S59" i="3"/>
  <c r="S58" i="3"/>
  <c r="S57" i="3"/>
  <c r="S56" i="3"/>
  <c r="J229" i="2"/>
  <c r="I229" i="2"/>
  <c r="H229" i="2"/>
  <c r="Q225" i="2"/>
  <c r="L225" i="2" s="1"/>
  <c r="J62" i="2"/>
  <c r="F61" i="2" s="1"/>
  <c r="E61" i="2" s="1"/>
  <c r="H62" i="2"/>
  <c r="F59" i="2" s="1"/>
  <c r="E59" i="2" s="1"/>
  <c r="I62" i="2"/>
  <c r="F60" i="2" s="1"/>
  <c r="E60" i="2" s="1"/>
  <c r="E67" i="2" s="1"/>
  <c r="F67" i="2" s="1"/>
  <c r="K59" i="2"/>
  <c r="J239" i="6"/>
  <c r="G235" i="6" s="1"/>
  <c r="I239" i="6"/>
  <c r="G234" i="6" s="1"/>
  <c r="V63" i="3"/>
  <c r="V62" i="3"/>
  <c r="V61" i="3"/>
  <c r="V60" i="3"/>
  <c r="V59" i="3"/>
  <c r="V58" i="3"/>
  <c r="V57" i="3"/>
  <c r="V56" i="3"/>
  <c r="T63" i="3"/>
  <c r="T62" i="3"/>
  <c r="T61" i="3"/>
  <c r="T60" i="3"/>
  <c r="T59" i="3"/>
  <c r="T58" i="3"/>
  <c r="T57" i="3"/>
  <c r="T56" i="3"/>
  <c r="O63" i="3"/>
  <c r="O62" i="3"/>
  <c r="O61" i="3"/>
  <c r="O60" i="3"/>
  <c r="O59" i="3"/>
  <c r="O58" i="3"/>
  <c r="O57" i="3"/>
  <c r="Q63" i="3"/>
  <c r="Q62" i="3"/>
  <c r="Q61" i="3"/>
  <c r="Q60" i="3"/>
  <c r="Q59" i="3"/>
  <c r="Q58" i="3"/>
  <c r="Q57" i="3"/>
  <c r="Q56" i="3"/>
  <c r="N245" i="6"/>
  <c r="N61" i="3"/>
  <c r="N60" i="3"/>
  <c r="N63" i="3"/>
  <c r="N58" i="3"/>
  <c r="N59" i="3"/>
  <c r="N57" i="3"/>
  <c r="N62" i="3"/>
  <c r="J254" i="6" l="1"/>
  <c r="G250" i="6" s="1"/>
  <c r="I254" i="6"/>
  <c r="G249" i="6" s="1"/>
  <c r="L250" i="6"/>
  <c r="L260" i="6" s="1"/>
  <c r="H228" i="2"/>
  <c r="F225" i="2" s="1"/>
  <c r="J228" i="2"/>
  <c r="F227" i="2" s="1"/>
  <c r="I228" i="2"/>
  <c r="F226" i="2" s="1"/>
  <c r="K225" i="2"/>
  <c r="I72" i="2"/>
  <c r="L67" i="2" s="1"/>
  <c r="I71" i="2"/>
  <c r="L66" i="2" s="1"/>
  <c r="E234" i="6"/>
  <c r="C238" i="6"/>
  <c r="B238" i="6"/>
  <c r="D238" i="6"/>
  <c r="E235" i="6"/>
  <c r="D239" i="6"/>
  <c r="C239" i="6"/>
  <c r="B239" i="6"/>
  <c r="W61" i="3"/>
  <c r="X51" i="3" s="1"/>
  <c r="W59" i="3"/>
  <c r="X49" i="3" s="1"/>
  <c r="W56" i="3"/>
  <c r="X46" i="3" s="1"/>
  <c r="W63" i="3"/>
  <c r="X53" i="3" s="1"/>
  <c r="W62" i="3"/>
  <c r="X52" i="3" s="1"/>
  <c r="W60" i="3"/>
  <c r="X50" i="3" s="1"/>
  <c r="W57" i="3"/>
  <c r="X47" i="3" s="1"/>
  <c r="W58" i="3"/>
  <c r="X48" i="3" s="1"/>
  <c r="N56" i="3"/>
  <c r="N85" i="3"/>
  <c r="N83" i="3"/>
  <c r="N82" i="3"/>
  <c r="N78" i="3"/>
  <c r="C231" i="2" l="1"/>
  <c r="B231" i="2"/>
  <c r="D231" i="2"/>
  <c r="E227" i="2"/>
  <c r="T70" i="3"/>
  <c r="S70" i="3"/>
  <c r="R70" i="3"/>
  <c r="Q70" i="3"/>
  <c r="P70" i="3"/>
  <c r="O70" i="3"/>
  <c r="V70" i="3"/>
  <c r="U70" i="3"/>
  <c r="B230" i="2"/>
  <c r="D230" i="2"/>
  <c r="C230" i="2"/>
  <c r="E226" i="2"/>
  <c r="D229" i="2"/>
  <c r="B229" i="2"/>
  <c r="C229" i="2"/>
  <c r="E225" i="2"/>
  <c r="E234" i="2" s="1"/>
  <c r="F234" i="2" s="1"/>
  <c r="T67" i="3"/>
  <c r="S67" i="3"/>
  <c r="R67" i="3"/>
  <c r="Q67" i="3"/>
  <c r="P67" i="3"/>
  <c r="O67" i="3"/>
  <c r="V67" i="3"/>
  <c r="U67" i="3"/>
  <c r="V72" i="3"/>
  <c r="U72" i="3"/>
  <c r="T72" i="3"/>
  <c r="S72" i="3"/>
  <c r="R72" i="3"/>
  <c r="Q72" i="3"/>
  <c r="P72" i="3"/>
  <c r="O72" i="3"/>
  <c r="T66" i="3"/>
  <c r="S66" i="3"/>
  <c r="R66" i="3"/>
  <c r="Q66" i="3"/>
  <c r="P66" i="3"/>
  <c r="O66" i="3"/>
  <c r="V66" i="3"/>
  <c r="U66" i="3"/>
  <c r="L275" i="6"/>
  <c r="N260" i="6"/>
  <c r="T68" i="3"/>
  <c r="S68" i="3"/>
  <c r="R68" i="3"/>
  <c r="Q68" i="3"/>
  <c r="P68" i="3"/>
  <c r="O68" i="3"/>
  <c r="V68" i="3"/>
  <c r="U68" i="3"/>
  <c r="N73" i="2"/>
  <c r="Q68" i="2" s="1"/>
  <c r="N71" i="2"/>
  <c r="Q66" i="2" s="1"/>
  <c r="N72" i="2"/>
  <c r="T69" i="3"/>
  <c r="S69" i="3"/>
  <c r="R69" i="3"/>
  <c r="Q69" i="3"/>
  <c r="P69" i="3"/>
  <c r="O69" i="3"/>
  <c r="V69" i="3"/>
  <c r="U69" i="3"/>
  <c r="E249" i="6"/>
  <c r="D253" i="6"/>
  <c r="C253" i="6"/>
  <c r="B253" i="6"/>
  <c r="V73" i="3"/>
  <c r="U73" i="3"/>
  <c r="P73" i="3"/>
  <c r="O73" i="3"/>
  <c r="T73" i="3"/>
  <c r="S73" i="3"/>
  <c r="R73" i="3"/>
  <c r="Q73" i="3"/>
  <c r="V71" i="3"/>
  <c r="U71" i="3"/>
  <c r="T71" i="3"/>
  <c r="S71" i="3"/>
  <c r="R71" i="3"/>
  <c r="Q71" i="3"/>
  <c r="P71" i="3"/>
  <c r="O71" i="3"/>
  <c r="O71" i="2"/>
  <c r="O72" i="2"/>
  <c r="O73" i="2"/>
  <c r="E250" i="6"/>
  <c r="D254" i="6"/>
  <c r="C254" i="6"/>
  <c r="B254" i="6"/>
  <c r="X71" i="3"/>
  <c r="W71" i="3" s="1"/>
  <c r="X66" i="3"/>
  <c r="W66" i="3" s="1"/>
  <c r="X73" i="3"/>
  <c r="W73" i="3" s="1"/>
  <c r="X69" i="3"/>
  <c r="W69" i="3" s="1"/>
  <c r="X72" i="3"/>
  <c r="W72" i="3" s="1"/>
  <c r="X70" i="3"/>
  <c r="W70" i="3" s="1"/>
  <c r="X67" i="3"/>
  <c r="W67" i="3" s="1"/>
  <c r="X68" i="3"/>
  <c r="W68" i="3" s="1"/>
  <c r="X54" i="3"/>
  <c r="N70" i="3"/>
  <c r="N72" i="3"/>
  <c r="N73" i="3"/>
  <c r="N69" i="3"/>
  <c r="N66" i="3"/>
  <c r="N71" i="3"/>
  <c r="N84" i="3"/>
  <c r="N81" i="3"/>
  <c r="N80" i="3"/>
  <c r="N79" i="3"/>
  <c r="S66" i="2" l="1"/>
  <c r="R71" i="2" s="1"/>
  <c r="Q71" i="2"/>
  <c r="S68" i="2"/>
  <c r="Q73" i="2" s="1"/>
  <c r="J269" i="6"/>
  <c r="G265" i="6" s="1"/>
  <c r="I269" i="6"/>
  <c r="G264" i="6" s="1"/>
  <c r="H240" i="2"/>
  <c r="L235" i="2" s="1"/>
  <c r="H239" i="2"/>
  <c r="L234" i="2" s="1"/>
  <c r="N275" i="6"/>
  <c r="Q67" i="2"/>
  <c r="N68" i="3"/>
  <c r="N67" i="3"/>
  <c r="S67" i="2" l="1"/>
  <c r="R72" i="2"/>
  <c r="L72" i="2" s="1"/>
  <c r="Q72" i="2"/>
  <c r="J284" i="6"/>
  <c r="G280" i="6" s="1"/>
  <c r="I284" i="6"/>
  <c r="G279" i="6" s="1"/>
  <c r="L280" i="6"/>
  <c r="L290" i="6" s="1"/>
  <c r="N239" i="2"/>
  <c r="Q234" i="2" s="1"/>
  <c r="N240" i="2"/>
  <c r="N241" i="2"/>
  <c r="L71" i="2"/>
  <c r="E264" i="6"/>
  <c r="B268" i="6"/>
  <c r="D268" i="6"/>
  <c r="C268" i="6"/>
  <c r="R73" i="2"/>
  <c r="O240" i="2"/>
  <c r="O239" i="2"/>
  <c r="O241" i="2"/>
  <c r="E265" i="6"/>
  <c r="C269" i="6"/>
  <c r="B269" i="6"/>
  <c r="D269" i="6"/>
  <c r="I75" i="2" l="1"/>
  <c r="H75" i="2"/>
  <c r="J75" i="2"/>
  <c r="K72" i="2"/>
  <c r="R239" i="2"/>
  <c r="S234" i="2"/>
  <c r="S239" i="2" s="1"/>
  <c r="Q239" i="2"/>
  <c r="E279" i="6"/>
  <c r="D283" i="6"/>
  <c r="C283" i="6"/>
  <c r="B283" i="6"/>
  <c r="Q235" i="2"/>
  <c r="K71" i="2"/>
  <c r="J74" i="2"/>
  <c r="F73" i="2" s="1"/>
  <c r="I74" i="2"/>
  <c r="F72" i="2" s="1"/>
  <c r="H74" i="2"/>
  <c r="E280" i="6"/>
  <c r="C284" i="6"/>
  <c r="B284" i="6"/>
  <c r="D284" i="6"/>
  <c r="N290" i="6"/>
  <c r="Q236" i="2"/>
  <c r="S236" i="2" l="1"/>
  <c r="S241" i="2" s="1"/>
  <c r="R241" i="2"/>
  <c r="B77" i="2"/>
  <c r="B82" i="2" s="1"/>
  <c r="D77" i="2"/>
  <c r="C77" i="2"/>
  <c r="E73" i="2"/>
  <c r="S235" i="2"/>
  <c r="S240" i="2" s="1"/>
  <c r="R240" i="2"/>
  <c r="L240" i="2" s="1"/>
  <c r="Q240" i="2"/>
  <c r="J299" i="6"/>
  <c r="G295" i="6" s="1"/>
  <c r="I299" i="6"/>
  <c r="G294" i="6" s="1"/>
  <c r="L295" i="6"/>
  <c r="L305" i="6" s="1"/>
  <c r="N305" i="6" s="1"/>
  <c r="F71" i="2"/>
  <c r="D76" i="2"/>
  <c r="C76" i="2"/>
  <c r="B76" i="2"/>
  <c r="B81" i="2" s="1"/>
  <c r="E72" i="2"/>
  <c r="H243" i="2" l="1"/>
  <c r="J243" i="2"/>
  <c r="I243" i="2"/>
  <c r="K240" i="2"/>
  <c r="B87" i="2"/>
  <c r="F82" i="2" s="1"/>
  <c r="E295" i="6"/>
  <c r="D299" i="6"/>
  <c r="C299" i="6"/>
  <c r="B299" i="6"/>
  <c r="C75" i="2"/>
  <c r="B75" i="2"/>
  <c r="B80" i="2" s="1"/>
  <c r="D75" i="2"/>
  <c r="E71" i="2"/>
  <c r="B86" i="2"/>
  <c r="F81" i="2" s="1"/>
  <c r="J314" i="6"/>
  <c r="G310" i="6" s="1"/>
  <c r="I314" i="6"/>
  <c r="G309" i="6" s="1"/>
  <c r="L310" i="6"/>
  <c r="E294" i="6"/>
  <c r="B298" i="6"/>
  <c r="C298" i="6"/>
  <c r="D298" i="6"/>
  <c r="Q241" i="2"/>
  <c r="L239" i="2" s="1"/>
  <c r="I86" i="2" l="1"/>
  <c r="I85" i="2"/>
  <c r="J86" i="2"/>
  <c r="J85" i="2"/>
  <c r="F80" i="2"/>
  <c r="B85" i="2"/>
  <c r="E309" i="6"/>
  <c r="B313" i="6"/>
  <c r="D313" i="6"/>
  <c r="C313" i="6"/>
  <c r="J242" i="2"/>
  <c r="F241" i="2" s="1"/>
  <c r="I242" i="2"/>
  <c r="F240" i="2" s="1"/>
  <c r="H242" i="2"/>
  <c r="F239" i="2" s="1"/>
  <c r="K239" i="2"/>
  <c r="E310" i="6"/>
  <c r="B314" i="6"/>
  <c r="C314" i="6"/>
  <c r="D314" i="6"/>
  <c r="B243" i="2" l="1"/>
  <c r="D243" i="2"/>
  <c r="D248" i="2" s="1"/>
  <c r="C243" i="2"/>
  <c r="E239" i="2"/>
  <c r="H86" i="2"/>
  <c r="L81" i="2" s="1"/>
  <c r="H85" i="2"/>
  <c r="L80" i="2" s="1"/>
  <c r="C244" i="2"/>
  <c r="B244" i="2"/>
  <c r="D244" i="2"/>
  <c r="D249" i="2" s="1"/>
  <c r="E240" i="2"/>
  <c r="B245" i="2"/>
  <c r="C245" i="2"/>
  <c r="D245" i="2"/>
  <c r="D250" i="2" s="1"/>
  <c r="E241" i="2"/>
  <c r="F250" i="2" l="1"/>
  <c r="D255" i="2"/>
  <c r="D254" i="2"/>
  <c r="F249" i="2" s="1"/>
  <c r="O86" i="2"/>
  <c r="O87" i="2"/>
  <c r="O85" i="2"/>
  <c r="D253" i="2"/>
  <c r="F248" i="2" s="1"/>
  <c r="N86" i="2"/>
  <c r="N87" i="2"/>
  <c r="N85" i="2"/>
  <c r="Q80" i="2" s="1"/>
  <c r="I254" i="2" l="1"/>
  <c r="I253" i="2"/>
  <c r="H253" i="2"/>
  <c r="L248" i="2" s="1"/>
  <c r="H254" i="2"/>
  <c r="Q82" i="2"/>
  <c r="Q81" i="2"/>
  <c r="Q85" i="2"/>
  <c r="S80" i="2"/>
  <c r="S85" i="2" s="1"/>
  <c r="J254" i="2"/>
  <c r="J253" i="2"/>
  <c r="R85" i="2" l="1"/>
  <c r="S81" i="2"/>
  <c r="S86" i="2" s="1"/>
  <c r="P95" i="2" s="1"/>
  <c r="Q95" i="2" s="1"/>
  <c r="R86" i="2"/>
  <c r="N254" i="2"/>
  <c r="N255" i="2"/>
  <c r="N253" i="2"/>
  <c r="S82" i="2"/>
  <c r="S87" i="2" s="1"/>
  <c r="L249" i="2"/>
  <c r="O254" i="2" l="1"/>
  <c r="Q249" i="2" s="1"/>
  <c r="O255" i="2"/>
  <c r="Q250" i="2" s="1"/>
  <c r="O253" i="2"/>
  <c r="Q248" i="2" s="1"/>
  <c r="Q87" i="2"/>
  <c r="R87" i="2"/>
  <c r="L86" i="2" s="1"/>
  <c r="Q86" i="2"/>
  <c r="S95" i="2"/>
  <c r="S100" i="2" s="1"/>
  <c r="S248" i="2" l="1"/>
  <c r="S253" i="2" s="1"/>
  <c r="S250" i="2"/>
  <c r="S255" i="2" s="1"/>
  <c r="P264" i="2" s="1"/>
  <c r="Q264" i="2" s="1"/>
  <c r="R255" i="2"/>
  <c r="K86" i="2"/>
  <c r="I89" i="2"/>
  <c r="H89" i="2"/>
  <c r="J89" i="2"/>
  <c r="S249" i="2"/>
  <c r="S254" i="2" s="1"/>
  <c r="R254" i="2"/>
  <c r="Q254" i="2"/>
  <c r="Q100" i="2"/>
  <c r="L99" i="2" s="1"/>
  <c r="R100" i="2"/>
  <c r="L85" i="2"/>
  <c r="J102" i="2" l="1"/>
  <c r="I102" i="2"/>
  <c r="H102" i="2"/>
  <c r="K99" i="2"/>
  <c r="K85" i="2"/>
  <c r="I88" i="2"/>
  <c r="F86" i="2" s="1"/>
  <c r="H88" i="2"/>
  <c r="F85" i="2" s="1"/>
  <c r="J88" i="2"/>
  <c r="F87" i="2" s="1"/>
  <c r="L100" i="2"/>
  <c r="O109" i="2"/>
  <c r="Q255" i="2"/>
  <c r="Q253" i="2"/>
  <c r="S264" i="2"/>
  <c r="S269" i="2" s="1"/>
  <c r="R253" i="2"/>
  <c r="L254" i="2" s="1"/>
  <c r="Q269" i="2" l="1"/>
  <c r="L267" i="2" s="1"/>
  <c r="H257" i="2"/>
  <c r="J257" i="2"/>
  <c r="I257" i="2"/>
  <c r="K254" i="2"/>
  <c r="L253" i="2"/>
  <c r="B91" i="2"/>
  <c r="C91" i="2"/>
  <c r="D91" i="2"/>
  <c r="E87" i="2"/>
  <c r="B89" i="2"/>
  <c r="D89" i="2"/>
  <c r="C89" i="2"/>
  <c r="E85" i="2"/>
  <c r="D90" i="2"/>
  <c r="C90" i="2"/>
  <c r="B90" i="2"/>
  <c r="E86" i="2"/>
  <c r="R269" i="2"/>
  <c r="O114" i="2"/>
  <c r="Q109" i="2" s="1"/>
  <c r="F100" i="2"/>
  <c r="J103" i="2"/>
  <c r="F101" i="2" s="1"/>
  <c r="I103" i="2"/>
  <c r="H103" i="2"/>
  <c r="F99" i="2" s="1"/>
  <c r="K100" i="2"/>
  <c r="B103" i="2" l="1"/>
  <c r="D103" i="2"/>
  <c r="C103" i="2"/>
  <c r="E99" i="2"/>
  <c r="B105" i="2"/>
  <c r="D105" i="2"/>
  <c r="C105" i="2"/>
  <c r="E101" i="2"/>
  <c r="S109" i="2"/>
  <c r="S114" i="2" s="1"/>
  <c r="R114" i="2"/>
  <c r="L114" i="2" s="1"/>
  <c r="Q114" i="2"/>
  <c r="L113" i="2" s="1"/>
  <c r="B104" i="2"/>
  <c r="D104" i="2"/>
  <c r="C104" i="2"/>
  <c r="E100" i="2"/>
  <c r="I256" i="2"/>
  <c r="F254" i="2" s="1"/>
  <c r="J256" i="2"/>
  <c r="F255" i="2" s="1"/>
  <c r="H256" i="2"/>
  <c r="F253" i="2" s="1"/>
  <c r="K253" i="2"/>
  <c r="L268" i="2"/>
  <c r="O278" i="2"/>
  <c r="J270" i="2"/>
  <c r="I270" i="2"/>
  <c r="H270" i="2"/>
  <c r="K267" i="2"/>
  <c r="C258" i="2" l="1"/>
  <c r="D258" i="2"/>
  <c r="B258" i="2"/>
  <c r="E254" i="2"/>
  <c r="O283" i="2"/>
  <c r="Q278" i="2" s="1"/>
  <c r="H116" i="2"/>
  <c r="I116" i="2"/>
  <c r="F114" i="2" s="1"/>
  <c r="J116" i="2"/>
  <c r="K113" i="2"/>
  <c r="K122" i="2" s="1"/>
  <c r="L122" i="2" s="1"/>
  <c r="B257" i="2"/>
  <c r="D257" i="2"/>
  <c r="C257" i="2"/>
  <c r="E253" i="2"/>
  <c r="F267" i="2"/>
  <c r="J271" i="2"/>
  <c r="F269" i="2" s="1"/>
  <c r="I271" i="2"/>
  <c r="F268" i="2" s="1"/>
  <c r="H271" i="2"/>
  <c r="K268" i="2"/>
  <c r="J117" i="2"/>
  <c r="I117" i="2"/>
  <c r="H117" i="2"/>
  <c r="K114" i="2"/>
  <c r="C259" i="2"/>
  <c r="B259" i="2"/>
  <c r="D259" i="2"/>
  <c r="E255" i="2"/>
  <c r="D272" i="2" l="1"/>
  <c r="C272" i="2"/>
  <c r="B272" i="2"/>
  <c r="E268" i="2"/>
  <c r="D273" i="2"/>
  <c r="C273" i="2"/>
  <c r="B273" i="2"/>
  <c r="E269" i="2"/>
  <c r="S278" i="2"/>
  <c r="S283" i="2" s="1"/>
  <c r="R283" i="2"/>
  <c r="L282" i="2" s="1"/>
  <c r="Q283" i="2"/>
  <c r="L281" i="2" s="1"/>
  <c r="D118" i="2"/>
  <c r="C118" i="2"/>
  <c r="B118" i="2"/>
  <c r="E114" i="2"/>
  <c r="F113" i="2"/>
  <c r="D271" i="2"/>
  <c r="C271" i="2"/>
  <c r="B271" i="2"/>
  <c r="E267" i="2"/>
  <c r="N128" i="2"/>
  <c r="Q123" i="2" s="1"/>
  <c r="N129" i="2"/>
  <c r="Q124" i="2" s="1"/>
  <c r="N127" i="2"/>
  <c r="Q122" i="2" s="1"/>
  <c r="F115" i="2"/>
  <c r="S124" i="2" l="1"/>
  <c r="S129" i="2" s="1"/>
  <c r="S122" i="2"/>
  <c r="S127" i="2" s="1"/>
  <c r="B117" i="2"/>
  <c r="D117" i="2"/>
  <c r="C117" i="2"/>
  <c r="E113" i="2"/>
  <c r="S123" i="2"/>
  <c r="S128" i="2" s="1"/>
  <c r="D119" i="2"/>
  <c r="C119" i="2"/>
  <c r="B119" i="2"/>
  <c r="E115" i="2"/>
  <c r="J284" i="2"/>
  <c r="I284" i="2"/>
  <c r="H284" i="2"/>
  <c r="K281" i="2"/>
  <c r="J285" i="2"/>
  <c r="I285" i="2"/>
  <c r="H285" i="2"/>
  <c r="K282" i="2"/>
  <c r="F282" i="2" l="1"/>
  <c r="Q127" i="2"/>
  <c r="Q128" i="2"/>
  <c r="R128" i="2"/>
  <c r="Q129" i="2"/>
  <c r="F281" i="2"/>
  <c r="R127" i="2"/>
  <c r="L128" i="2" s="1"/>
  <c r="F283" i="2"/>
  <c r="R129" i="2"/>
  <c r="I131" i="2" l="1"/>
  <c r="I137" i="2" s="1"/>
  <c r="H131" i="2"/>
  <c r="J131" i="2"/>
  <c r="K128" i="2"/>
  <c r="L127" i="2"/>
  <c r="D287" i="2"/>
  <c r="C287" i="2"/>
  <c r="B287" i="2"/>
  <c r="E283" i="2"/>
  <c r="C285" i="2"/>
  <c r="D285" i="2"/>
  <c r="B285" i="2"/>
  <c r="E281" i="2"/>
  <c r="D286" i="2"/>
  <c r="B286" i="2"/>
  <c r="C286" i="2"/>
  <c r="E282" i="2"/>
  <c r="K127" i="2" l="1"/>
  <c r="J130" i="2"/>
  <c r="F129" i="2" s="1"/>
  <c r="I130" i="2"/>
  <c r="H130" i="2"/>
  <c r="F127" i="2" s="1"/>
  <c r="I142" i="2"/>
  <c r="L137" i="2" s="1"/>
  <c r="O142" i="2" l="1"/>
  <c r="O143" i="2"/>
  <c r="O141" i="2"/>
  <c r="F128" i="2"/>
  <c r="I136" i="2"/>
  <c r="D131" i="2"/>
  <c r="C131" i="2"/>
  <c r="B131" i="2"/>
  <c r="E127" i="2"/>
  <c r="C133" i="2"/>
  <c r="B133" i="2"/>
  <c r="D133" i="2"/>
  <c r="E129" i="2"/>
  <c r="I141" i="2" l="1"/>
  <c r="L136" i="2" s="1"/>
  <c r="C132" i="2"/>
  <c r="B132" i="2"/>
  <c r="D132" i="2"/>
  <c r="E128" i="2"/>
  <c r="N141" i="2" l="1"/>
  <c r="Q136" i="2" s="1"/>
  <c r="N142" i="2"/>
  <c r="Q137" i="2" s="1"/>
  <c r="N143" i="2"/>
  <c r="Q138" i="2" s="1"/>
  <c r="S137" i="2" l="1"/>
  <c r="S142" i="2" s="1"/>
  <c r="R142" i="2"/>
  <c r="Q142" i="2"/>
  <c r="Q143" i="2"/>
  <c r="S138" i="2"/>
  <c r="S143" i="2" s="1"/>
  <c r="S136" i="2"/>
  <c r="S141" i="2" s="1"/>
  <c r="R141" i="2"/>
  <c r="R143" i="2" l="1"/>
  <c r="L142" i="2" s="1"/>
  <c r="Q141" i="2"/>
  <c r="L141" i="2" s="1"/>
  <c r="K142" i="2" l="1"/>
  <c r="J145" i="2"/>
  <c r="I145" i="2"/>
  <c r="H145" i="2"/>
  <c r="K141" i="2"/>
  <c r="I144" i="2"/>
  <c r="F142" i="2" s="1"/>
  <c r="H144" i="2"/>
  <c r="F141" i="2" s="1"/>
  <c r="J144" i="2"/>
  <c r="F143" i="2" s="1"/>
  <c r="C146" i="2" l="1"/>
  <c r="D146" i="2"/>
  <c r="B146" i="2"/>
  <c r="E142" i="2"/>
  <c r="B147" i="2"/>
  <c r="D147" i="2"/>
  <c r="C147" i="2"/>
  <c r="E143" i="2"/>
  <c r="E152" i="2" s="1"/>
  <c r="F152" i="2" s="1"/>
  <c r="C145" i="2"/>
  <c r="B145" i="2"/>
  <c r="D145" i="2"/>
  <c r="E141" i="2"/>
  <c r="J156" i="2" l="1"/>
  <c r="L151" i="2" s="1"/>
  <c r="J155" i="2"/>
  <c r="L150" i="2" s="1"/>
  <c r="N156" i="2" l="1"/>
  <c r="N157" i="2"/>
  <c r="Q152" i="2" s="1"/>
  <c r="N155" i="2"/>
  <c r="Q150" i="2" s="1"/>
  <c r="O156" i="2"/>
  <c r="O157" i="2"/>
  <c r="O155" i="2"/>
  <c r="S152" i="2" l="1"/>
  <c r="S157" i="2" s="1"/>
  <c r="R157" i="2"/>
  <c r="Q155" i="2"/>
  <c r="S150" i="2"/>
  <c r="S155" i="2" s="1"/>
  <c r="Q151" i="2"/>
  <c r="S151" i="2" l="1"/>
  <c r="S156" i="2" s="1"/>
  <c r="R155" i="2"/>
  <c r="Q157" i="2"/>
  <c r="Q156" i="2" l="1"/>
  <c r="L155" i="2" s="1"/>
  <c r="R156" i="2"/>
  <c r="L156" i="2" s="1"/>
  <c r="K156" i="2" l="1"/>
  <c r="J159" i="2"/>
  <c r="I159" i="2"/>
  <c r="H159" i="2"/>
  <c r="K155" i="2"/>
  <c r="I158" i="2"/>
  <c r="F156" i="2" s="1"/>
  <c r="H158" i="2"/>
  <c r="F155" i="2" s="1"/>
  <c r="J158" i="2"/>
  <c r="F157" i="2" s="1"/>
  <c r="D159" i="2" l="1"/>
  <c r="C159" i="2"/>
  <c r="B159" i="2"/>
  <c r="E155" i="2"/>
  <c r="E157" i="2"/>
  <c r="D161" i="2"/>
  <c r="B161" i="2"/>
  <c r="C161" i="2"/>
  <c r="D160" i="2"/>
  <c r="C160" i="2"/>
  <c r="C165" i="2" s="1"/>
  <c r="B160" i="2"/>
  <c r="E156" i="2"/>
  <c r="C170" i="2" l="1"/>
  <c r="F165" i="2" s="1"/>
  <c r="I169" i="2" l="1"/>
  <c r="L164" i="2" s="1"/>
  <c r="I170" i="2"/>
  <c r="L165" i="2" s="1"/>
  <c r="N170" i="2" l="1"/>
  <c r="Q165" i="2" s="1"/>
  <c r="N171" i="2"/>
  <c r="Q166" i="2" s="1"/>
  <c r="N169" i="2"/>
  <c r="Q164" i="2" s="1"/>
  <c r="O170" i="2"/>
  <c r="O171" i="2"/>
  <c r="O169" i="2"/>
  <c r="Q170" i="2" l="1"/>
  <c r="S165" i="2"/>
  <c r="S170" i="2" s="1"/>
  <c r="Q169" i="2"/>
  <c r="L169" i="2" s="1"/>
  <c r="S164" i="2"/>
  <c r="S169" i="2" s="1"/>
  <c r="R171" i="2"/>
  <c r="Q171" i="2"/>
  <c r="S166" i="2"/>
  <c r="S171" i="2" s="1"/>
  <c r="K169" i="2" l="1"/>
  <c r="I172" i="2"/>
  <c r="J172" i="2"/>
  <c r="H172" i="2"/>
  <c r="R169" i="2"/>
  <c r="R170" i="2"/>
  <c r="L170" i="2" l="1"/>
  <c r="K170" i="2" l="1"/>
  <c r="H173" i="2"/>
  <c r="F169" i="2" s="1"/>
  <c r="J173" i="2"/>
  <c r="F171" i="2" s="1"/>
  <c r="I173" i="2"/>
  <c r="F170" i="2" s="1"/>
  <c r="D175" i="2" l="1"/>
  <c r="C175" i="2"/>
  <c r="B175" i="2"/>
  <c r="E171" i="2"/>
  <c r="E170" i="2"/>
  <c r="B174" i="2"/>
  <c r="D174" i="2"/>
  <c r="C174" i="2"/>
  <c r="C173" i="2"/>
  <c r="D173" i="2"/>
  <c r="B173" i="2"/>
  <c r="E169" i="2"/>
  <c r="AQ7" i="3" a="1"/>
  <c r="AS7" i="3" s="1"/>
  <c r="AR7" i="3" l="1"/>
  <c r="AV7" i="3"/>
  <c r="AU7" i="3"/>
  <c r="AW7" i="3"/>
  <c r="AQ7" i="3"/>
  <c r="AT7" i="3"/>
  <c r="AX7" i="3"/>
  <c r="AR9" i="3" l="1"/>
  <c r="AQ10" i="3" s="1"/>
  <c r="AR13" i="3" s="1"/>
  <c r="AQ14" i="3" s="1"/>
</calcChain>
</file>

<file path=xl/sharedStrings.xml><?xml version="1.0" encoding="utf-8"?>
<sst xmlns="http://schemas.openxmlformats.org/spreadsheetml/2006/main" count="1182" uniqueCount="212">
  <si>
    <t>XOR function</t>
  </si>
  <si>
    <t>Input</t>
  </si>
  <si>
    <t>Output</t>
  </si>
  <si>
    <t>x = Input</t>
  </si>
  <si>
    <t>Sample</t>
  </si>
  <si>
    <t>#0</t>
  </si>
  <si>
    <t>w = Weights</t>
  </si>
  <si>
    <t>Ref 1</t>
  </si>
  <si>
    <t>Optical matrix-vector implementation of the content-addressable network</t>
  </si>
  <si>
    <t>#1</t>
  </si>
  <si>
    <t>T = Threshold</t>
  </si>
  <si>
    <t>Ref 2</t>
  </si>
  <si>
    <t>Hardware Efficient Learning on a 3-D Optoelectronic Neural System</t>
  </si>
  <si>
    <t>#2</t>
  </si>
  <si>
    <t>h = Hidden output</t>
  </si>
  <si>
    <t>Ref 3</t>
  </si>
  <si>
    <t>Binary Backpropagation in Content Addressable Memory</t>
  </si>
  <si>
    <t>#3</t>
  </si>
  <si>
    <t>R = NN result</t>
  </si>
  <si>
    <t>y = Desired output</t>
  </si>
  <si>
    <t>D = Delta</t>
  </si>
  <si>
    <t>Update Plan</t>
  </si>
  <si>
    <t>T1</t>
  </si>
  <si>
    <t>w1</t>
  </si>
  <si>
    <t>T0</t>
  </si>
  <si>
    <t>w0</t>
  </si>
  <si>
    <t>x_0</t>
  </si>
  <si>
    <t>w_0</t>
  </si>
  <si>
    <t>T_0</t>
  </si>
  <si>
    <t>h_0</t>
  </si>
  <si>
    <t>w_1</t>
  </si>
  <si>
    <t>T_1</t>
  </si>
  <si>
    <t>R_0</t>
  </si>
  <si>
    <t>y_0</t>
  </si>
  <si>
    <t>D_0</t>
  </si>
  <si>
    <t>T2</t>
  </si>
  <si>
    <t>w2</t>
  </si>
  <si>
    <t>h_1</t>
  </si>
  <si>
    <t>w_2</t>
  </si>
  <si>
    <t>T_2</t>
  </si>
  <si>
    <t>LSB = Least significant bit</t>
  </si>
  <si>
    <t>Because D_0 is 0, no change needed to T1</t>
  </si>
  <si>
    <t>x_1</t>
  </si>
  <si>
    <t>y_1</t>
  </si>
  <si>
    <t>D_1</t>
  </si>
  <si>
    <t>MSB = Most significant bit</t>
  </si>
  <si>
    <t>[</t>
  </si>
  <si>
    <t>]</t>
  </si>
  <si>
    <t>LSB</t>
  </si>
  <si>
    <t>MSB</t>
  </si>
  <si>
    <t>x0</t>
  </si>
  <si>
    <t>h0</t>
  </si>
  <si>
    <t>h1</t>
  </si>
  <si>
    <t>h2</t>
  </si>
  <si>
    <t>y0</t>
  </si>
  <si>
    <t>D0</t>
  </si>
  <si>
    <t>D_w_1</t>
  </si>
  <si>
    <t>Note:</t>
  </si>
  <si>
    <t>In Ref 1, delta weight uses the complement of the output as performed in this example, but that suggest to change all values in w_1</t>
  </si>
  <si>
    <t>In Ref 2, delta weight adds a selection function, which helps to formalize which column should be updated</t>
  </si>
  <si>
    <t>(</t>
  </si>
  <si>
    <t>Because D_0 is 0, no change needed to T_2</t>
  </si>
  <si>
    <t>,</t>
  </si>
  <si>
    <t>)</t>
  </si>
  <si>
    <t>x_2</t>
  </si>
  <si>
    <t>y_2</t>
  </si>
  <si>
    <t>w_1 colum 0 was updated because D_w_1 had both columns but the algorithm states that only one change at a time should be applied</t>
  </si>
  <si>
    <t>D_T_0</t>
  </si>
  <si>
    <t>According to update plan, D_1 is not zero, then it should update T_0, which first creates a D_w_1, back propagate to obtain D_0, which applies D_T_0 function</t>
  </si>
  <si>
    <t>ij</t>
  </si>
  <si>
    <t>D_w_2</t>
  </si>
  <si>
    <t>i=1,j=1</t>
  </si>
  <si>
    <t>x_3</t>
  </si>
  <si>
    <t>y_3</t>
  </si>
  <si>
    <t>D_w_2 suggest changes to either column 0 or 1, by convention, column 0</t>
  </si>
  <si>
    <t>No changes needed, pattern learned</t>
  </si>
  <si>
    <t>D_T_1</t>
  </si>
  <si>
    <t>D_T_1 suggest changes to either threshold, by convention index 0 is selected</t>
  </si>
  <si>
    <t>D_w_1 suggest changes to all columns, by convention index 0 is selected</t>
  </si>
  <si>
    <t>D_w_1 (Direct calculation)</t>
  </si>
  <si>
    <t>x_4</t>
  </si>
  <si>
    <t>y_4</t>
  </si>
  <si>
    <t>Dw0</t>
  </si>
  <si>
    <t>T0'</t>
  </si>
  <si>
    <t>DT2</t>
  </si>
  <si>
    <t>D02</t>
  </si>
  <si>
    <t>Dw1</t>
  </si>
  <si>
    <t>T1'</t>
  </si>
  <si>
    <t>DT1</t>
  </si>
  <si>
    <t>D01</t>
  </si>
  <si>
    <t>w2'</t>
  </si>
  <si>
    <t>T2'</t>
  </si>
  <si>
    <t>DT0</t>
  </si>
  <si>
    <t>D_T_0 suggest changes to index 1 or 2, by convention index 1 is selected</t>
  </si>
  <si>
    <t>h</t>
  </si>
  <si>
    <t>D</t>
  </si>
  <si>
    <t>x_5</t>
  </si>
  <si>
    <t>y_5</t>
  </si>
  <si>
    <t>D_w_0 suggest changes to all columns, by convention index 0 is selected</t>
  </si>
  <si>
    <t>D_w_0</t>
  </si>
  <si>
    <t>x_6</t>
  </si>
  <si>
    <t>y_6</t>
  </si>
  <si>
    <t>D_T_2</t>
  </si>
  <si>
    <t>D_T_2 suggest changes to index 1</t>
  </si>
  <si>
    <t>x_7</t>
  </si>
  <si>
    <t>y_7</t>
  </si>
  <si>
    <t>D_w_2 suggest changes to column 1</t>
  </si>
  <si>
    <t>[(0,1)</t>
  </si>
  <si>
    <t>[1,0,0]:3</t>
  </si>
  <si>
    <t>[0,0,0]:2</t>
  </si>
  <si>
    <t>[1,0,0]:3,(0,0)</t>
  </si>
  <si>
    <t>[1,0,0]:2</t>
  </si>
  <si>
    <t>[1,0,0]:3,(1,1)</t>
  </si>
  <si>
    <t>[1,0]:2</t>
  </si>
  <si>
    <t>[1,0]:1</t>
  </si>
  <si>
    <t>[0,1]:2]</t>
  </si>
  <si>
    <t>D_T_1 suggest changes to index 0</t>
  </si>
  <si>
    <t>D_w_1 suggest changes to columns 1 and 2, by convention 1 is selected</t>
  </si>
  <si>
    <t>0,0,255,0,254,0,0,0</t>
  </si>
  <si>
    <t>7,0,8,1,7,9,7,7</t>
  </si>
  <si>
    <t>Extras</t>
  </si>
  <si>
    <t>Reverse Function</t>
  </si>
  <si>
    <t>D_T_0 suggest changes to 0 and 2, by convention index 2 is selected, considering that last time index 1 was selected</t>
  </si>
  <si>
    <t>6,1,1,6,3,7,7,5</t>
  </si>
  <si>
    <t>D_w_0 suggest changes to all columns; by convention index 1 is selected because last time 0 was</t>
  </si>
  <si>
    <t>H = Hidden output</t>
  </si>
  <si>
    <t>O = Desired output</t>
  </si>
  <si>
    <t>H0</t>
  </si>
  <si>
    <t>H1</t>
  </si>
  <si>
    <t>R</t>
  </si>
  <si>
    <t>O</t>
  </si>
  <si>
    <t>i=2,j=1</t>
  </si>
  <si>
    <t>i=1,j=2</t>
  </si>
  <si>
    <t>T2D</t>
  </si>
  <si>
    <t>Delta</t>
  </si>
  <si>
    <t>D_T_0'</t>
  </si>
  <si>
    <t>Change T2D index 1 but index is already 3</t>
  </si>
  <si>
    <t>D_T_2 suggest changes to index 1,2, by convention 2 is changed because 1 was selected last time</t>
  </si>
  <si>
    <t>w2D</t>
  </si>
  <si>
    <t>NOTE: Becase T_2 index 2 has the value "2", it can not be increased</t>
  </si>
  <si>
    <t>Change w2D column 0</t>
  </si>
  <si>
    <t>T1D</t>
  </si>
  <si>
    <t>D1</t>
  </si>
  <si>
    <t>Change T1D index 0</t>
  </si>
  <si>
    <t>w1D</t>
  </si>
  <si>
    <t>Change w1D column 0</t>
  </si>
  <si>
    <t>T0D</t>
  </si>
  <si>
    <t>Change T0D index 0</t>
  </si>
  <si>
    <t>D_T_1 suggest changes to both, index 1 is selected</t>
  </si>
  <si>
    <t>w0D</t>
  </si>
  <si>
    <t>Change W0D column 0</t>
  </si>
  <si>
    <t>D_w_1 suggest changes to all columns, by convention 2 is selected, because last time 1 was changed</t>
  </si>
  <si>
    <t>D_T_0 suggest changes to all values; only 0 is changed because 2 was changed last time</t>
  </si>
  <si>
    <t>Delta 0, No changes to w2</t>
  </si>
  <si>
    <t>D_w_0 suggest changes to all columns; by convention index 2 is selected because last time 1 was</t>
  </si>
  <si>
    <t>Change T1D index 1</t>
  </si>
  <si>
    <t>w1D does not have any change</t>
  </si>
  <si>
    <t>D_T_2 suggest changes to index 2</t>
  </si>
  <si>
    <t>Change T0D index 1</t>
  </si>
  <si>
    <t>D_w_2 suggest changes to either column, by convention column 1 is selected</t>
  </si>
  <si>
    <t>Change W0D column 1</t>
  </si>
  <si>
    <t>[(-1,-1)</t>
  </si>
  <si>
    <t>[(1,0)</t>
  </si>
  <si>
    <t>[0,0,0]:3</t>
  </si>
  <si>
    <t>[0,1,0]:2</t>
  </si>
  <si>
    <t>[0,0,0]:3,(-1,-1)</t>
  </si>
  <si>
    <t>[1,0,0]:2,(2,1)</t>
  </si>
  <si>
    <t>[1,0,1]:1</t>
  </si>
  <si>
    <t>[1,1,1]:2,(2,2)</t>
  </si>
  <si>
    <t>[0,0]:2</t>
  </si>
  <si>
    <t>Change T2D index 2 but index is already 3</t>
  </si>
  <si>
    <t>[0,0]:2]</t>
  </si>
  <si>
    <t>[1,1]:2]</t>
  </si>
  <si>
    <t>Change w2D column 1</t>
  </si>
  <si>
    <t>Change T1D index 2</t>
  </si>
  <si>
    <t>Delta 0, No changes to w1</t>
  </si>
  <si>
    <t>Delta 0, No changes to w0</t>
  </si>
  <si>
    <t>ADW</t>
  </si>
  <si>
    <t>191,30,29,157,254,143,47,111</t>
  </si>
  <si>
    <t>w1'</t>
  </si>
  <si>
    <t>w0 (XOR) x_0</t>
  </si>
  <si>
    <t>w1 (XOR) h_0</t>
  </si>
  <si>
    <t>w_0 (XOR) x_0</t>
  </si>
  <si>
    <t>w_1 (XOR) h_0</t>
  </si>
  <si>
    <t>w_2 (XOR) h_1</t>
  </si>
  <si>
    <t>w0 `XOR` x0</t>
  </si>
  <si>
    <t>w1 `XOR` h0</t>
  </si>
  <si>
    <t>w2 `XOR` h1</t>
  </si>
  <si>
    <t>w0 `XOR`x0</t>
  </si>
  <si>
    <t>129</t>
  </si>
  <si>
    <t>192</t>
  </si>
  <si>
    <t>107</t>
  </si>
  <si>
    <t>212</t>
  </si>
  <si>
    <t>123</t>
  </si>
  <si>
    <t>21</t>
  </si>
  <si>
    <t>7,0,5,3,6,7,7,7</t>
  </si>
  <si>
    <t>7</t>
  </si>
  <si>
    <t>0</t>
  </si>
  <si>
    <t>5</t>
  </si>
  <si>
    <t>3</t>
  </si>
  <si>
    <t>6</t>
  </si>
  <si>
    <t>193,128,43,148,59,85,193,193</t>
  </si>
  <si>
    <t>193</t>
  </si>
  <si>
    <t>128</t>
  </si>
  <si>
    <t>43</t>
  </si>
  <si>
    <t>148</t>
  </si>
  <si>
    <t>59</t>
  </si>
  <si>
    <t>85</t>
  </si>
  <si>
    <t>Sum</t>
  </si>
  <si>
    <t>Last</t>
  </si>
  <si>
    <t>Next</t>
  </si>
  <si>
    <t>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</si>
</sst>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0"/>
      <color rgb="FF000000"/>
      <name val="Arial"/>
    </font>
    <font>
      <sz val="10"/>
      <name val="Arial"/>
    </font>
    <font>
      <sz val="10"/>
      <name val="Arial"/>
    </font>
    <font>
      <sz val="10"/>
      <color rgb="FF000000"/>
      <name val="Arial"/>
    </font>
    <font>
      <sz val="11"/>
      <color rgb="FF000000"/>
      <name val="Inconsolata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EFEFEF"/>
        <bgColor rgb="FFEFEFEF"/>
      </patternFill>
    </fill>
    <fill>
      <patternFill patternType="solid">
        <fgColor rgb="FFD9D9D9"/>
        <bgColor rgb="FFD9D9D9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41">
    <xf numFmtId="0" fontId="0" fillId="0" borderId="0" xfId="0" applyFont="1" applyAlignment="1"/>
    <xf numFmtId="0" fontId="1" fillId="0" borderId="0" xfId="0" applyFont="1" applyAlignment="1"/>
    <xf numFmtId="0" fontId="1" fillId="0" borderId="0" xfId="0" applyFont="1" applyAlignment="1">
      <alignment horizontal="center"/>
    </xf>
    <xf numFmtId="0" fontId="1" fillId="0" borderId="1" xfId="0" applyFont="1" applyBorder="1" applyAlignmen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right"/>
    </xf>
    <xf numFmtId="0" fontId="3" fillId="2" borderId="0" xfId="0" applyFont="1" applyFill="1" applyAlignment="1"/>
    <xf numFmtId="0" fontId="1" fillId="0" borderId="0" xfId="0" applyFont="1" applyAlignment="1"/>
    <xf numFmtId="0" fontId="1" fillId="0" borderId="0" xfId="0" applyFont="1" applyAlignment="1">
      <alignment horizontal="left"/>
    </xf>
    <xf numFmtId="0" fontId="3" fillId="2" borderId="0" xfId="0" applyFont="1" applyFill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0" fontId="3" fillId="0" borderId="0" xfId="0" applyFont="1" applyAlignment="1"/>
    <xf numFmtId="0" fontId="2" fillId="0" borderId="0" xfId="0" applyFont="1" applyAlignment="1">
      <alignment horizontal="right"/>
    </xf>
    <xf numFmtId="0" fontId="3" fillId="3" borderId="0" xfId="0" applyFont="1" applyFill="1" applyAlignment="1"/>
    <xf numFmtId="0" fontId="1" fillId="3" borderId="0" xfId="0" applyFont="1" applyFill="1" applyAlignment="1"/>
    <xf numFmtId="0" fontId="2" fillId="0" borderId="0" xfId="0" applyFont="1" applyAlignment="1"/>
    <xf numFmtId="0" fontId="2" fillId="0" borderId="0" xfId="0" applyFont="1" applyAlignment="1">
      <alignment horizontal="center"/>
    </xf>
    <xf numFmtId="0" fontId="2" fillId="0" borderId="0" xfId="0" applyFont="1" applyAlignment="1"/>
    <xf numFmtId="0" fontId="4" fillId="0" borderId="0" xfId="0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1" fillId="4" borderId="0" xfId="0" applyFont="1" applyFill="1" applyAlignment="1"/>
    <xf numFmtId="0" fontId="1" fillId="0" borderId="0" xfId="0" applyFont="1"/>
    <xf numFmtId="0" fontId="4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Font="1" applyAlignment="1"/>
    <xf numFmtId="0" fontId="1" fillId="0" borderId="0" xfId="0" applyFont="1" applyAlignment="1"/>
    <xf numFmtId="0" fontId="1" fillId="5" borderId="0" xfId="0" applyFont="1" applyFill="1" applyAlignment="1"/>
    <xf numFmtId="0" fontId="0" fillId="0" borderId="0" xfId="0" applyFont="1" applyAlignment="1"/>
    <xf numFmtId="0" fontId="1" fillId="0" borderId="0" xfId="0" applyFont="1" applyAlignment="1"/>
    <xf numFmtId="0" fontId="0" fillId="0" borderId="0" xfId="0" applyFont="1" applyAlignment="1"/>
    <xf numFmtId="0" fontId="0" fillId="0" borderId="0" xfId="0" applyNumberFormat="1" applyFont="1" applyAlignment="1"/>
    <xf numFmtId="0" fontId="5" fillId="0" borderId="0" xfId="0" applyFont="1" applyAlignment="1"/>
    <xf numFmtId="0" fontId="2" fillId="0" borderId="0" xfId="0" applyFont="1" applyAlignment="1"/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W315"/>
  <sheetViews>
    <sheetView topLeftCell="A26" workbookViewId="0">
      <selection activeCell="E52" sqref="E52"/>
    </sheetView>
  </sheetViews>
  <sheetFormatPr baseColWidth="10" defaultColWidth="14.5" defaultRowHeight="15.75" customHeight="1"/>
  <cols>
    <col min="1" max="26" width="6.83203125" customWidth="1"/>
  </cols>
  <sheetData>
    <row r="1" spans="1:18" ht="15.75" customHeight="1">
      <c r="A1" s="1"/>
      <c r="B1" s="1" t="s">
        <v>0</v>
      </c>
      <c r="D1" s="39" t="s">
        <v>1</v>
      </c>
      <c r="E1" s="38"/>
      <c r="H1" s="1" t="s">
        <v>2</v>
      </c>
      <c r="L1" s="1" t="s">
        <v>3</v>
      </c>
    </row>
    <row r="2" spans="1:18" ht="15.75" customHeight="1">
      <c r="A2" s="1"/>
      <c r="C2" s="1" t="s">
        <v>5</v>
      </c>
      <c r="D2" s="1">
        <v>0</v>
      </c>
      <c r="E2" s="1">
        <v>0</v>
      </c>
      <c r="H2" s="4">
        <v>0</v>
      </c>
      <c r="I2" s="5">
        <v>0</v>
      </c>
      <c r="L2" s="1" t="s">
        <v>6</v>
      </c>
      <c r="P2" s="1" t="s">
        <v>7</v>
      </c>
      <c r="Q2" s="1" t="s">
        <v>8</v>
      </c>
    </row>
    <row r="3" spans="1:18" ht="15.75" customHeight="1">
      <c r="C3" s="1" t="s">
        <v>9</v>
      </c>
      <c r="D3" s="1">
        <v>0</v>
      </c>
      <c r="E3" s="1">
        <v>1</v>
      </c>
      <c r="H3" s="5">
        <v>1</v>
      </c>
      <c r="I3" s="4">
        <v>1</v>
      </c>
      <c r="L3" s="1" t="s">
        <v>10</v>
      </c>
      <c r="P3" s="1" t="s">
        <v>11</v>
      </c>
      <c r="Q3" s="1" t="s">
        <v>12</v>
      </c>
    </row>
    <row r="4" spans="1:18" ht="15.75" customHeight="1">
      <c r="C4" s="1" t="s">
        <v>13</v>
      </c>
      <c r="D4" s="1">
        <v>1</v>
      </c>
      <c r="E4" s="1">
        <v>0</v>
      </c>
      <c r="H4" s="5">
        <v>1</v>
      </c>
      <c r="I4" s="5">
        <v>1</v>
      </c>
      <c r="L4" s="1" t="s">
        <v>14</v>
      </c>
      <c r="P4" s="1" t="s">
        <v>15</v>
      </c>
      <c r="Q4" s="1" t="s">
        <v>16</v>
      </c>
    </row>
    <row r="5" spans="1:18" ht="15.75" customHeight="1">
      <c r="C5" s="1" t="s">
        <v>17</v>
      </c>
      <c r="D5" s="1">
        <v>1</v>
      </c>
      <c r="E5" s="1">
        <v>1</v>
      </c>
      <c r="H5" s="1">
        <v>0</v>
      </c>
      <c r="I5" s="1">
        <v>0</v>
      </c>
      <c r="L5" s="1" t="s">
        <v>18</v>
      </c>
    </row>
    <row r="6" spans="1:18" ht="15.75" customHeight="1">
      <c r="L6" s="1" t="s">
        <v>19</v>
      </c>
    </row>
    <row r="7" spans="1:18" ht="15.75" customHeight="1">
      <c r="L7" s="1" t="s">
        <v>20</v>
      </c>
    </row>
    <row r="8" spans="1:18" ht="15.75" customHeight="1">
      <c r="I8" s="1" t="s">
        <v>21</v>
      </c>
    </row>
    <row r="9" spans="1:18" ht="15.75" customHeight="1">
      <c r="I9" s="1" t="s">
        <v>22</v>
      </c>
      <c r="J9" s="1" t="s">
        <v>23</v>
      </c>
      <c r="K9" s="1" t="s">
        <v>24</v>
      </c>
      <c r="L9" s="1" t="s">
        <v>25</v>
      </c>
    </row>
    <row r="11" spans="1:18" ht="15.75" customHeight="1">
      <c r="A11" s="2" t="s">
        <v>26</v>
      </c>
      <c r="B11" s="39" t="s">
        <v>27</v>
      </c>
      <c r="C11" s="38"/>
      <c r="D11" s="2" t="s">
        <v>28</v>
      </c>
      <c r="E11" s="2" t="s">
        <v>29</v>
      </c>
      <c r="F11" s="6"/>
      <c r="G11" s="39" t="s">
        <v>30</v>
      </c>
      <c r="H11" s="38"/>
      <c r="I11" s="2" t="s">
        <v>31</v>
      </c>
      <c r="J11" s="2" t="s">
        <v>32</v>
      </c>
      <c r="K11" s="2" t="s">
        <v>33</v>
      </c>
      <c r="L11" s="2" t="s">
        <v>34</v>
      </c>
    </row>
    <row r="12" spans="1:18" ht="15.75" customHeight="1">
      <c r="A12" s="1">
        <f>$D2</f>
        <v>0</v>
      </c>
      <c r="B12" s="1">
        <v>0</v>
      </c>
      <c r="C12" s="1">
        <v>0</v>
      </c>
      <c r="D12" s="1">
        <v>2</v>
      </c>
      <c r="E12" t="b">
        <f t="shared" ref="E12:E13" si="0">COUNTIF(B16:C16, TRUE)&gt;=D12</f>
        <v>0</v>
      </c>
      <c r="G12" s="1">
        <v>0</v>
      </c>
      <c r="H12" s="1">
        <v>0</v>
      </c>
      <c r="I12" s="1">
        <v>2</v>
      </c>
      <c r="J12" t="b">
        <f t="shared" ref="J12:J13" si="1">COUNTIF(G16:H16, TRUE)&gt;=I12</f>
        <v>0</v>
      </c>
      <c r="K12">
        <f>$H2</f>
        <v>0</v>
      </c>
      <c r="L12" t="b">
        <f>_xlfn.XOR(J12,K12)</f>
        <v>0</v>
      </c>
    </row>
    <row r="13" spans="1:18" ht="15.75" customHeight="1">
      <c r="A13" s="1">
        <f>$E2</f>
        <v>0</v>
      </c>
      <c r="B13" s="1">
        <v>0</v>
      </c>
      <c r="C13" s="1">
        <v>0</v>
      </c>
      <c r="D13" s="1">
        <v>2</v>
      </c>
      <c r="E13" t="b">
        <f t="shared" si="0"/>
        <v>0</v>
      </c>
      <c r="G13" s="1">
        <v>0</v>
      </c>
      <c r="H13" s="1">
        <v>0</v>
      </c>
      <c r="I13" s="1">
        <v>2</v>
      </c>
      <c r="J13" t="b">
        <f t="shared" si="1"/>
        <v>0</v>
      </c>
      <c r="K13">
        <f>$I2</f>
        <v>0</v>
      </c>
      <c r="L13" t="b">
        <f>_xlfn.XOR(J13,K13)</f>
        <v>0</v>
      </c>
      <c r="P13" s="38"/>
      <c r="Q13" s="38"/>
      <c r="R13" s="38"/>
    </row>
    <row r="15" spans="1:18" ht="15.75" customHeight="1">
      <c r="B15" s="1" t="s">
        <v>180</v>
      </c>
      <c r="G15" s="1" t="s">
        <v>181</v>
      </c>
    </row>
    <row r="16" spans="1:18" ht="15.75" customHeight="1">
      <c r="B16" t="b">
        <f>_xlfn.XOR(B12,$A12)</f>
        <v>0</v>
      </c>
      <c r="C16" t="b">
        <f>_xlfn.XOR(C12,$A13)</f>
        <v>0</v>
      </c>
      <c r="G16" t="b">
        <f>_xlfn.XOR($E$12,G12)</f>
        <v>0</v>
      </c>
      <c r="H16" t="b">
        <f>_xlfn.XOR($E$13,H12)</f>
        <v>0</v>
      </c>
    </row>
    <row r="17" spans="1:14" ht="15.75" customHeight="1">
      <c r="B17" t="b">
        <f>_xlfn.XOR(B13,$A12)</f>
        <v>0</v>
      </c>
      <c r="C17" t="b">
        <f>_xlfn.XOR(C13,$A13)</f>
        <v>0</v>
      </c>
      <c r="G17" t="b">
        <f>_xlfn.XOR($E$12,G13)</f>
        <v>0</v>
      </c>
      <c r="H17" t="b">
        <f>_xlfn.XOR($E$13,H13)</f>
        <v>0</v>
      </c>
      <c r="N17" s="1" t="s">
        <v>41</v>
      </c>
    </row>
    <row r="19" spans="1:14" ht="15.75" customHeight="1">
      <c r="A19" s="2" t="s">
        <v>42</v>
      </c>
      <c r="B19" s="39" t="s">
        <v>27</v>
      </c>
      <c r="C19" s="38"/>
      <c r="D19" s="2" t="s">
        <v>28</v>
      </c>
      <c r="E19" s="2" t="s">
        <v>29</v>
      </c>
      <c r="F19" s="6"/>
      <c r="G19" s="39" t="s">
        <v>30</v>
      </c>
      <c r="H19" s="38"/>
      <c r="I19" s="2" t="s">
        <v>31</v>
      </c>
      <c r="J19" s="2" t="s">
        <v>32</v>
      </c>
      <c r="K19" s="2" t="s">
        <v>43</v>
      </c>
      <c r="L19" s="2" t="s">
        <v>44</v>
      </c>
    </row>
    <row r="20" spans="1:14" ht="15.75" customHeight="1">
      <c r="A20" s="1">
        <f>$D3</f>
        <v>0</v>
      </c>
      <c r="B20" s="1">
        <v>0</v>
      </c>
      <c r="C20" s="1">
        <v>0</v>
      </c>
      <c r="D20" s="1">
        <v>2</v>
      </c>
      <c r="E20" t="b">
        <f t="shared" ref="E20:E21" si="2">COUNTIF(B24:C24, TRUE)&gt;=D20</f>
        <v>0</v>
      </c>
      <c r="G20" s="1">
        <v>0</v>
      </c>
      <c r="H20" s="1">
        <v>0</v>
      </c>
      <c r="I20" s="1">
        <v>2</v>
      </c>
      <c r="J20" t="b">
        <f t="shared" ref="J20:J21" si="3">COUNTIF(G24:H24, TRUE)&gt;=I20</f>
        <v>0</v>
      </c>
      <c r="K20">
        <f>$H3</f>
        <v>1</v>
      </c>
      <c r="L20" t="b">
        <f>_xlfn.XOR(J20,K20)</f>
        <v>1</v>
      </c>
    </row>
    <row r="21" spans="1:14" ht="15.75" customHeight="1">
      <c r="A21" s="1">
        <f>$E3</f>
        <v>1</v>
      </c>
      <c r="B21" s="1">
        <v>0</v>
      </c>
      <c r="C21" s="1">
        <v>0</v>
      </c>
      <c r="D21" s="1">
        <v>2</v>
      </c>
      <c r="E21" t="b">
        <f t="shared" si="2"/>
        <v>0</v>
      </c>
      <c r="G21" s="1">
        <v>0</v>
      </c>
      <c r="H21" s="1">
        <v>0</v>
      </c>
      <c r="I21" s="1">
        <v>2</v>
      </c>
      <c r="J21" t="b">
        <f t="shared" si="3"/>
        <v>0</v>
      </c>
      <c r="K21">
        <f>$I3</f>
        <v>1</v>
      </c>
      <c r="L21" t="b">
        <f>_xlfn.XOR(J21,K21)</f>
        <v>1</v>
      </c>
    </row>
    <row r="23" spans="1:14" ht="15.75" customHeight="1">
      <c r="B23" s="1" t="s">
        <v>180</v>
      </c>
      <c r="G23" s="1" t="s">
        <v>181</v>
      </c>
      <c r="J23" s="1" t="s">
        <v>56</v>
      </c>
      <c r="M23" s="1" t="s">
        <v>57</v>
      </c>
      <c r="N23" s="1" t="s">
        <v>58</v>
      </c>
    </row>
    <row r="24" spans="1:14" ht="15.75" customHeight="1">
      <c r="B24" t="b">
        <f>_xlfn.XOR(B20,$A20)</f>
        <v>0</v>
      </c>
      <c r="C24" t="b">
        <f>_xlfn.XOR(C20,$A21)</f>
        <v>1</v>
      </c>
      <c r="G24" t="b">
        <f>_xlfn.XOR($E20,G20)</f>
        <v>0</v>
      </c>
      <c r="H24" t="b">
        <f>_xlfn.XOR($E21,H20)</f>
        <v>0</v>
      </c>
      <c r="J24" t="b">
        <f>AND($L20,(_xlfn.XOR(G24,NOT($J20))))</f>
        <v>1</v>
      </c>
      <c r="K24" t="b">
        <f>AND($L20,(_xlfn.XOR(H24,NOT($J20))))</f>
        <v>1</v>
      </c>
      <c r="N24" s="1" t="s">
        <v>59</v>
      </c>
    </row>
    <row r="25" spans="1:14" ht="15.75" customHeight="1">
      <c r="B25" t="b">
        <f>_xlfn.XOR(B21,$A20)</f>
        <v>0</v>
      </c>
      <c r="C25" t="b">
        <f>_xlfn.XOR(C21,$A21)</f>
        <v>1</v>
      </c>
      <c r="G25" t="b">
        <f>_xlfn.XOR($E20,G21)</f>
        <v>0</v>
      </c>
      <c r="H25" t="b">
        <f>_xlfn.XOR($E21,H21)</f>
        <v>0</v>
      </c>
      <c r="J25" t="b">
        <f>AND($L21,(_xlfn.XOR(G25,NOT($J21))))</f>
        <v>1</v>
      </c>
      <c r="K25" t="b">
        <f>AND($L21,(_xlfn.XOR(H25,NOT($J21))))</f>
        <v>1</v>
      </c>
    </row>
    <row r="27" spans="1:14" ht="15.75" customHeight="1">
      <c r="A27" s="2" t="s">
        <v>64</v>
      </c>
      <c r="B27" s="39" t="s">
        <v>27</v>
      </c>
      <c r="C27" s="38"/>
      <c r="D27" s="2" t="s">
        <v>28</v>
      </c>
      <c r="E27" s="2" t="s">
        <v>29</v>
      </c>
      <c r="F27" s="6"/>
      <c r="G27" s="39" t="s">
        <v>30</v>
      </c>
      <c r="H27" s="38"/>
      <c r="I27" s="2" t="s">
        <v>31</v>
      </c>
      <c r="J27" s="2" t="s">
        <v>32</v>
      </c>
      <c r="K27" s="2" t="s">
        <v>65</v>
      </c>
      <c r="L27" s="2" t="s">
        <v>44</v>
      </c>
      <c r="N27" s="14" t="s">
        <v>66</v>
      </c>
    </row>
    <row r="28" spans="1:14" ht="15.75" customHeight="1">
      <c r="A28" s="1">
        <f>$D4</f>
        <v>1</v>
      </c>
      <c r="B28" s="1">
        <v>0</v>
      </c>
      <c r="C28" s="1">
        <v>0</v>
      </c>
      <c r="D28" s="1">
        <v>2</v>
      </c>
      <c r="E28" t="b">
        <f t="shared" ref="E28:E29" si="4">COUNTIF(B32:C32, TRUE)&gt;=D28</f>
        <v>0</v>
      </c>
      <c r="G28" s="16">
        <v>1</v>
      </c>
      <c r="H28" s="1">
        <v>0</v>
      </c>
      <c r="I28" s="1">
        <v>2</v>
      </c>
      <c r="J28" t="b">
        <f t="shared" ref="J28:J29" si="5">COUNTIF(G32:H32, TRUE)&gt;=I28</f>
        <v>0</v>
      </c>
      <c r="K28">
        <f>H4</f>
        <v>1</v>
      </c>
      <c r="L28" t="b">
        <f>_xlfn.XOR(J28,K28)</f>
        <v>1</v>
      </c>
    </row>
    <row r="29" spans="1:14" ht="15.75" customHeight="1">
      <c r="A29" s="1">
        <f>$E4</f>
        <v>0</v>
      </c>
      <c r="B29" s="1">
        <v>0</v>
      </c>
      <c r="C29" s="1">
        <v>0</v>
      </c>
      <c r="D29" s="1">
        <v>2</v>
      </c>
      <c r="E29" t="b">
        <f t="shared" si="4"/>
        <v>0</v>
      </c>
      <c r="G29" s="16">
        <v>1</v>
      </c>
      <c r="H29" s="1">
        <v>0</v>
      </c>
      <c r="I29" s="1">
        <v>2</v>
      </c>
      <c r="J29" t="b">
        <f t="shared" si="5"/>
        <v>0</v>
      </c>
      <c r="K29">
        <f>I4</f>
        <v>1</v>
      </c>
      <c r="L29" t="b">
        <f>_xlfn.XOR(J29,K29)</f>
        <v>1</v>
      </c>
    </row>
    <row r="31" spans="1:14" ht="15.75" customHeight="1">
      <c r="B31" s="1" t="s">
        <v>180</v>
      </c>
      <c r="D31" s="1" t="s">
        <v>67</v>
      </c>
      <c r="E31" s="1" t="s">
        <v>34</v>
      </c>
      <c r="G31" s="1" t="s">
        <v>181</v>
      </c>
      <c r="J31" s="1" t="s">
        <v>56</v>
      </c>
    </row>
    <row r="32" spans="1:14" ht="15.75" customHeight="1">
      <c r="B32" t="b">
        <f>_xlfn.XOR(B28,$A28)</f>
        <v>1</v>
      </c>
      <c r="C32" t="b">
        <f>_xlfn.XOR(C28,$A29)</f>
        <v>0</v>
      </c>
      <c r="D32">
        <f t="shared" ref="D32:D33" si="6">IF(E32,IF(E28,1,-1),0)</f>
        <v>0</v>
      </c>
      <c r="E32" t="b">
        <f>OR(J$32:J$33)</f>
        <v>0</v>
      </c>
      <c r="G32" t="b">
        <f>_xlfn.XOR($E28,G28)</f>
        <v>1</v>
      </c>
      <c r="H32" t="b">
        <f>_xlfn.XOR($E29,H28)</f>
        <v>0</v>
      </c>
      <c r="J32" t="b">
        <f>AND($L28,(_xlfn.XOR(G32,NOT($J28))))</f>
        <v>0</v>
      </c>
      <c r="K32" t="b">
        <f>AND($L28,(_xlfn.XOR(H32,NOT($J28))))</f>
        <v>1</v>
      </c>
      <c r="N32" s="1" t="s">
        <v>68</v>
      </c>
    </row>
    <row r="33" spans="1:18" ht="15.75" customHeight="1">
      <c r="B33" t="b">
        <f>_xlfn.XOR(B29,$A28)</f>
        <v>1</v>
      </c>
      <c r="C33" t="b">
        <f>_xlfn.XOR(C29,$A29)</f>
        <v>0</v>
      </c>
      <c r="D33">
        <f t="shared" si="6"/>
        <v>-1</v>
      </c>
      <c r="E33" t="b">
        <f>OR(K$32:K$33)</f>
        <v>1</v>
      </c>
      <c r="G33" t="b">
        <f>_xlfn.XOR($E28,G29)</f>
        <v>1</v>
      </c>
      <c r="H33" t="b">
        <f>_xlfn.XOR($E29,H29)</f>
        <v>0</v>
      </c>
      <c r="J33" t="b">
        <f>AND($L29,(_xlfn.XOR(G33,NOT($J29))))</f>
        <v>0</v>
      </c>
      <c r="K33" t="b">
        <f>AND($L29,(_xlfn.XOR(H33,NOT($J29))))</f>
        <v>1</v>
      </c>
    </row>
    <row r="35" spans="1:18" ht="15.75" customHeight="1">
      <c r="A35" s="2" t="s">
        <v>72</v>
      </c>
      <c r="B35" s="39" t="s">
        <v>27</v>
      </c>
      <c r="C35" s="38"/>
      <c r="D35" s="2" t="s">
        <v>28</v>
      </c>
      <c r="E35" s="2" t="s">
        <v>29</v>
      </c>
      <c r="F35" s="6"/>
      <c r="G35" s="39" t="s">
        <v>30</v>
      </c>
      <c r="H35" s="38"/>
      <c r="I35" s="2" t="s">
        <v>31</v>
      </c>
      <c r="J35" s="2" t="s">
        <v>32</v>
      </c>
      <c r="K35" s="2" t="s">
        <v>73</v>
      </c>
      <c r="L35" s="2" t="s">
        <v>44</v>
      </c>
    </row>
    <row r="36" spans="1:18" ht="15.75" customHeight="1">
      <c r="A36" s="1">
        <f>$D5</f>
        <v>1</v>
      </c>
      <c r="B36" s="1">
        <v>0</v>
      </c>
      <c r="C36" s="1">
        <v>0</v>
      </c>
      <c r="D36" s="1">
        <v>2</v>
      </c>
      <c r="E36" t="b">
        <f t="shared" ref="E36:E37" si="7">COUNTIF(B40:C40, TRUE)&gt;=D36</f>
        <v>1</v>
      </c>
      <c r="G36" s="14">
        <v>1</v>
      </c>
      <c r="H36" s="1">
        <v>0</v>
      </c>
      <c r="I36" s="1">
        <v>2</v>
      </c>
      <c r="J36" t="b">
        <f t="shared" ref="J36:J37" si="8">COUNTIF(G40:H40, TRUE)&gt;=I36</f>
        <v>0</v>
      </c>
      <c r="K36">
        <f>H5</f>
        <v>0</v>
      </c>
      <c r="L36" t="b">
        <f>_xlfn.XOR(J36,K36)</f>
        <v>0</v>
      </c>
    </row>
    <row r="37" spans="1:18" ht="15.75" customHeight="1">
      <c r="A37" s="1">
        <f>$E5</f>
        <v>1</v>
      </c>
      <c r="B37" s="1">
        <v>0</v>
      </c>
      <c r="C37" s="1">
        <v>0</v>
      </c>
      <c r="D37" s="16">
        <f>D29+D33</f>
        <v>1</v>
      </c>
      <c r="E37" t="b">
        <f t="shared" si="7"/>
        <v>1</v>
      </c>
      <c r="G37" s="14">
        <v>1</v>
      </c>
      <c r="H37" s="1">
        <v>0</v>
      </c>
      <c r="I37" s="1">
        <v>2</v>
      </c>
      <c r="J37" t="b">
        <f t="shared" si="8"/>
        <v>0</v>
      </c>
      <c r="K37">
        <f>I5</f>
        <v>0</v>
      </c>
      <c r="L37" t="b">
        <f>_xlfn.XOR(J37,K37)</f>
        <v>0</v>
      </c>
      <c r="P37" s="38"/>
      <c r="Q37" s="38"/>
      <c r="R37" s="38"/>
    </row>
    <row r="39" spans="1:18" ht="15.75" customHeight="1">
      <c r="B39" s="1" t="s">
        <v>180</v>
      </c>
      <c r="D39" s="1" t="s">
        <v>67</v>
      </c>
      <c r="E39" s="1" t="s">
        <v>34</v>
      </c>
      <c r="G39" s="1" t="s">
        <v>181</v>
      </c>
      <c r="J39" s="1" t="s">
        <v>56</v>
      </c>
    </row>
    <row r="40" spans="1:18" ht="15.75" customHeight="1">
      <c r="B40" t="b">
        <f>_xlfn.XOR(B36,$A36)</f>
        <v>1</v>
      </c>
      <c r="C40" t="b">
        <f>_xlfn.XOR(C36,$A37)</f>
        <v>1</v>
      </c>
      <c r="D40">
        <f t="shared" ref="D40:D41" si="9">IF(E40,IF(E36,1,-1),0)</f>
        <v>0</v>
      </c>
      <c r="E40" t="b">
        <f>OR(J$32:J$33)</f>
        <v>0</v>
      </c>
      <c r="G40" t="b">
        <f>_xlfn.XOR($E36,G36)</f>
        <v>0</v>
      </c>
      <c r="H40" t="b">
        <f>_xlfn.XOR($E37,H36)</f>
        <v>1</v>
      </c>
      <c r="J40" t="b">
        <f>AND($L36,(_xlfn.XOR(G40,NOT($J36))))</f>
        <v>0</v>
      </c>
      <c r="K40" t="b">
        <f>AND($L36,(_xlfn.XOR(H40,NOT($J36))))</f>
        <v>0</v>
      </c>
      <c r="N40" s="1" t="s">
        <v>75</v>
      </c>
    </row>
    <row r="41" spans="1:18" ht="15.75" customHeight="1">
      <c r="B41" t="b">
        <f>_xlfn.XOR(B37,$A36)</f>
        <v>1</v>
      </c>
      <c r="C41" t="b">
        <f>_xlfn.XOR(C37,$A37)</f>
        <v>1</v>
      </c>
      <c r="D41">
        <f t="shared" si="9"/>
        <v>1</v>
      </c>
      <c r="E41" t="b">
        <f>OR(K$32:K$33)</f>
        <v>1</v>
      </c>
      <c r="G41" t="b">
        <f>_xlfn.XOR($E36,G37)</f>
        <v>0</v>
      </c>
      <c r="H41" t="b">
        <f>_xlfn.XOR($E37,H37)</f>
        <v>1</v>
      </c>
      <c r="J41" t="b">
        <f>AND($L37,(_xlfn.XOR(G41,NOT($J37))))</f>
        <v>0</v>
      </c>
      <c r="K41" t="b">
        <f>AND($L37,(_xlfn.XOR(H41,NOT($J37))))</f>
        <v>0</v>
      </c>
    </row>
    <row r="43" spans="1:18" ht="15.75" customHeight="1">
      <c r="A43" s="2" t="s">
        <v>42</v>
      </c>
      <c r="B43" s="39" t="s">
        <v>27</v>
      </c>
      <c r="C43" s="38"/>
      <c r="D43" s="2" t="s">
        <v>28</v>
      </c>
      <c r="E43" s="2" t="s">
        <v>29</v>
      </c>
      <c r="F43" s="6"/>
      <c r="G43" s="39" t="s">
        <v>30</v>
      </c>
      <c r="H43" s="38"/>
      <c r="I43" s="2" t="s">
        <v>31</v>
      </c>
      <c r="J43" s="2" t="s">
        <v>32</v>
      </c>
      <c r="K43" s="2" t="s">
        <v>43</v>
      </c>
      <c r="L43" s="2" t="s">
        <v>44</v>
      </c>
    </row>
    <row r="44" spans="1:18" ht="15.75" customHeight="1">
      <c r="A44" s="1">
        <f>$D$3</f>
        <v>0</v>
      </c>
      <c r="B44" s="1">
        <v>0</v>
      </c>
      <c r="C44" s="1">
        <v>0</v>
      </c>
      <c r="D44" s="1">
        <v>2</v>
      </c>
      <c r="E44" t="b">
        <f t="shared" ref="E44:E45" si="10">COUNTIF(B48:C48, TRUE)&gt;=D44</f>
        <v>0</v>
      </c>
      <c r="G44" s="1">
        <v>1</v>
      </c>
      <c r="H44" s="1">
        <v>0</v>
      </c>
      <c r="I44" s="1">
        <v>2</v>
      </c>
      <c r="J44" t="b">
        <f t="shared" ref="J44:J45" si="11">COUNTIF(G48:H48, TRUE)&gt;=I44</f>
        <v>1</v>
      </c>
      <c r="K44">
        <f>$H$3</f>
        <v>1</v>
      </c>
      <c r="L44" t="b">
        <f>_xlfn.XOR(J44,K44)</f>
        <v>0</v>
      </c>
    </row>
    <row r="45" spans="1:18" ht="15.75" customHeight="1">
      <c r="A45" s="1">
        <f>$E$3</f>
        <v>1</v>
      </c>
      <c r="B45" s="1">
        <v>0</v>
      </c>
      <c r="C45" s="1">
        <v>0</v>
      </c>
      <c r="D45" s="1">
        <v>1</v>
      </c>
      <c r="E45" t="b">
        <f t="shared" si="10"/>
        <v>1</v>
      </c>
      <c r="G45" s="1">
        <v>1</v>
      </c>
      <c r="H45" s="1">
        <v>0</v>
      </c>
      <c r="I45" s="1">
        <v>2</v>
      </c>
      <c r="J45" t="b">
        <f t="shared" si="11"/>
        <v>1</v>
      </c>
      <c r="K45">
        <f>$I$3</f>
        <v>1</v>
      </c>
      <c r="L45" t="b">
        <f>_xlfn.XOR(J45,K45)</f>
        <v>0</v>
      </c>
    </row>
    <row r="47" spans="1:18" ht="15.75" customHeight="1">
      <c r="B47" s="1" t="s">
        <v>180</v>
      </c>
      <c r="G47" s="1" t="s">
        <v>181</v>
      </c>
      <c r="J47" s="1" t="s">
        <v>56</v>
      </c>
    </row>
    <row r="48" spans="1:18" ht="15.75" customHeight="1">
      <c r="B48" t="b">
        <f>_xlfn.XOR(B44,$A44)</f>
        <v>0</v>
      </c>
      <c r="C48" t="b">
        <f>_xlfn.XOR(C44,$A45)</f>
        <v>1</v>
      </c>
      <c r="G48" t="b">
        <f>_xlfn.XOR($E44,G44)</f>
        <v>1</v>
      </c>
      <c r="H48" t="b">
        <f>_xlfn.XOR($E45,H44)</f>
        <v>1</v>
      </c>
      <c r="J48" t="b">
        <f>AND($L44,(_xlfn.XOR(G48,NOT($J44))))</f>
        <v>0</v>
      </c>
      <c r="K48" t="b">
        <f>AND($L44,(_xlfn.XOR(H48,NOT($J44))))</f>
        <v>0</v>
      </c>
    </row>
    <row r="49" spans="1:18" ht="15.75" customHeight="1">
      <c r="B49" t="b">
        <f>_xlfn.XOR(B45,$A44)</f>
        <v>0</v>
      </c>
      <c r="C49" t="b">
        <f>_xlfn.XOR(C45,$A45)</f>
        <v>1</v>
      </c>
      <c r="G49" t="b">
        <f>_xlfn.XOR($E44,G45)</f>
        <v>1</v>
      </c>
      <c r="H49" t="b">
        <f>_xlfn.XOR($E45,H45)</f>
        <v>1</v>
      </c>
      <c r="J49" t="b">
        <f>AND($L45,(_xlfn.XOR(G49,NOT($J45))))</f>
        <v>0</v>
      </c>
      <c r="K49" t="b">
        <f>AND($L45,(_xlfn.XOR(H49,NOT($J45))))</f>
        <v>0</v>
      </c>
      <c r="P49" s="38"/>
      <c r="Q49" s="38"/>
      <c r="R49" s="38"/>
    </row>
    <row r="51" spans="1:18" ht="15.75" customHeight="1">
      <c r="A51" s="2" t="s">
        <v>42</v>
      </c>
      <c r="B51" s="39" t="s">
        <v>27</v>
      </c>
      <c r="C51" s="38"/>
      <c r="D51" s="2" t="s">
        <v>28</v>
      </c>
      <c r="E51" s="2" t="s">
        <v>29</v>
      </c>
      <c r="F51" s="6"/>
      <c r="G51" s="39" t="s">
        <v>30</v>
      </c>
      <c r="H51" s="38"/>
      <c r="I51" s="2" t="s">
        <v>31</v>
      </c>
      <c r="J51" s="2" t="s">
        <v>32</v>
      </c>
      <c r="K51" s="2" t="s">
        <v>43</v>
      </c>
      <c r="L51" s="2" t="s">
        <v>44</v>
      </c>
    </row>
    <row r="52" spans="1:18" ht="15.75" customHeight="1">
      <c r="A52" s="1">
        <f>D3</f>
        <v>0</v>
      </c>
      <c r="B52" s="1">
        <v>0</v>
      </c>
      <c r="C52" s="1">
        <v>0</v>
      </c>
      <c r="D52" s="1">
        <v>2</v>
      </c>
      <c r="E52" t="b">
        <f t="shared" ref="E52:E53" si="12">COUNTIF(B56:C56, TRUE)&gt;=D52</f>
        <v>0</v>
      </c>
      <c r="G52" s="1">
        <v>0</v>
      </c>
      <c r="H52" s="1">
        <v>1</v>
      </c>
      <c r="I52" s="1">
        <v>2</v>
      </c>
      <c r="J52" t="b">
        <f t="shared" ref="J52:J53" si="13">COUNTIF(G56:H56, TRUE)&gt;=I52</f>
        <v>0</v>
      </c>
      <c r="K52">
        <f>H3</f>
        <v>1</v>
      </c>
      <c r="L52" t="b">
        <f>_xlfn.XOR(J52,K52)</f>
        <v>1</v>
      </c>
    </row>
    <row r="53" spans="1:18" ht="15.75" customHeight="1">
      <c r="A53" s="1">
        <f>E3</f>
        <v>1</v>
      </c>
      <c r="B53" s="1">
        <v>0</v>
      </c>
      <c r="C53" s="1">
        <v>0</v>
      </c>
      <c r="D53" s="1">
        <v>1</v>
      </c>
      <c r="E53" t="b">
        <f t="shared" si="12"/>
        <v>1</v>
      </c>
      <c r="G53" s="1">
        <v>0</v>
      </c>
      <c r="H53" s="1">
        <v>1</v>
      </c>
      <c r="I53" s="1">
        <v>2</v>
      </c>
      <c r="J53" t="b">
        <f t="shared" si="13"/>
        <v>0</v>
      </c>
      <c r="K53">
        <f>I3</f>
        <v>1</v>
      </c>
      <c r="L53" t="b">
        <f>_xlfn.XOR(J53,K53)</f>
        <v>1</v>
      </c>
    </row>
    <row r="55" spans="1:18" ht="15.75" customHeight="1">
      <c r="B55" s="1" t="s">
        <v>180</v>
      </c>
      <c r="G55" s="1" t="s">
        <v>181</v>
      </c>
      <c r="J55" s="1" t="s">
        <v>56</v>
      </c>
    </row>
    <row r="56" spans="1:18" ht="15.75" customHeight="1">
      <c r="B56" t="b">
        <f>_xlfn.XOR(B52,$A52)</f>
        <v>0</v>
      </c>
      <c r="C56" t="b">
        <f>_xlfn.XOR(C52,$A53)</f>
        <v>1</v>
      </c>
      <c r="G56" t="b">
        <f>_xlfn.XOR($E52,G52)</f>
        <v>0</v>
      </c>
      <c r="H56" t="b">
        <f>_xlfn.XOR($E53,H52)</f>
        <v>0</v>
      </c>
      <c r="J56" t="b">
        <f>AND($L52,(_xlfn.XOR(G56,NOT($J52))))</f>
        <v>1</v>
      </c>
      <c r="K56" t="b">
        <f>AND($L52,(_xlfn.XOR(H56,NOT($J52))))</f>
        <v>1</v>
      </c>
    </row>
    <row r="57" spans="1:18" ht="15.75" customHeight="1">
      <c r="B57" t="b">
        <f>_xlfn.XOR(B53,$A52)</f>
        <v>0</v>
      </c>
      <c r="C57" t="b">
        <f>_xlfn.XOR(C53,$A53)</f>
        <v>1</v>
      </c>
      <c r="G57" t="b">
        <f>_xlfn.XOR($E52,G53)</f>
        <v>0</v>
      </c>
      <c r="H57" t="b">
        <f>_xlfn.XOR($E53,H53)</f>
        <v>0</v>
      </c>
      <c r="J57" t="b">
        <f>AND($L53,(_xlfn.XOR(G57,NOT($J53))))</f>
        <v>1</v>
      </c>
      <c r="K57" t="b">
        <f>AND($L53,(_xlfn.XOR(H57,NOT($J53))))</f>
        <v>1</v>
      </c>
    </row>
    <row r="63" spans="1:18" ht="15.75" customHeight="1">
      <c r="B63" s="38"/>
      <c r="C63" s="38"/>
      <c r="D63" s="38"/>
      <c r="I63" s="38"/>
      <c r="J63" s="38"/>
      <c r="K63" s="38"/>
      <c r="P63" s="38"/>
      <c r="Q63" s="38"/>
      <c r="R63" s="38"/>
    </row>
    <row r="78" spans="2:18" ht="15.75" customHeight="1">
      <c r="B78" s="38"/>
      <c r="C78" s="38"/>
      <c r="D78" s="38"/>
      <c r="I78" s="38"/>
      <c r="J78" s="38"/>
      <c r="K78" s="38"/>
      <c r="P78" s="38"/>
      <c r="Q78" s="38"/>
      <c r="R78" s="38"/>
    </row>
    <row r="93" spans="2:18" ht="15.75" customHeight="1">
      <c r="B93" s="38"/>
      <c r="C93" s="38"/>
      <c r="D93" s="38"/>
      <c r="I93" s="38"/>
      <c r="J93" s="38"/>
      <c r="K93" s="38"/>
      <c r="P93" s="38"/>
      <c r="Q93" s="38"/>
      <c r="R93" s="38"/>
    </row>
    <row r="108" spans="2:18" ht="15.75" customHeight="1">
      <c r="B108" s="38"/>
      <c r="C108" s="38"/>
      <c r="D108" s="38"/>
      <c r="I108" s="38"/>
      <c r="J108" s="38"/>
      <c r="K108" s="38"/>
      <c r="P108" s="38"/>
      <c r="Q108" s="38"/>
      <c r="R108" s="38"/>
    </row>
    <row r="122" spans="2:23" ht="13">
      <c r="B122" s="4"/>
      <c r="C122" s="4"/>
      <c r="D122" s="4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</row>
    <row r="123" spans="2:23" ht="13">
      <c r="B123" s="37"/>
      <c r="C123" s="38"/>
      <c r="D123" s="38"/>
      <c r="E123" s="18"/>
      <c r="F123" s="18"/>
      <c r="G123" s="18"/>
      <c r="H123" s="18"/>
      <c r="I123" s="37"/>
      <c r="J123" s="38"/>
      <c r="K123" s="38"/>
      <c r="L123" s="18"/>
      <c r="M123" s="18"/>
      <c r="N123" s="18"/>
      <c r="O123" s="18"/>
      <c r="P123" s="37"/>
      <c r="Q123" s="38"/>
      <c r="R123" s="38"/>
      <c r="S123" s="18"/>
      <c r="T123" s="18"/>
      <c r="U123" s="18"/>
      <c r="V123" s="18"/>
      <c r="W123" s="18"/>
    </row>
    <row r="124" spans="2:23" ht="13">
      <c r="B124" s="5"/>
      <c r="C124" s="5"/>
      <c r="D124" s="5"/>
      <c r="E124" s="5"/>
      <c r="F124" s="18"/>
      <c r="G124" s="19"/>
      <c r="H124" s="18"/>
      <c r="I124" s="5"/>
      <c r="J124" s="5"/>
      <c r="K124" s="18"/>
      <c r="L124" s="5"/>
      <c r="M124" s="18"/>
      <c r="N124" s="19"/>
      <c r="O124" s="18"/>
      <c r="P124" s="5"/>
      <c r="Q124" s="5"/>
      <c r="R124" s="5"/>
      <c r="S124" s="5"/>
      <c r="T124" s="18"/>
      <c r="U124" s="19"/>
      <c r="V124" s="5"/>
      <c r="W124" s="19"/>
    </row>
    <row r="125" spans="2:23" ht="13">
      <c r="B125" s="5"/>
      <c r="C125" s="5"/>
      <c r="D125" s="5"/>
      <c r="E125" s="5"/>
      <c r="F125" s="18"/>
      <c r="G125" s="19"/>
      <c r="H125" s="18"/>
      <c r="I125" s="5"/>
      <c r="J125" s="5"/>
      <c r="K125" s="18"/>
      <c r="L125" s="5"/>
      <c r="M125" s="18"/>
      <c r="N125" s="19"/>
      <c r="O125" s="18"/>
      <c r="P125" s="5"/>
      <c r="Q125" s="5"/>
      <c r="R125" s="5"/>
      <c r="S125" s="5"/>
      <c r="T125" s="18"/>
      <c r="U125" s="19"/>
      <c r="V125" s="4"/>
      <c r="W125" s="19"/>
    </row>
    <row r="126" spans="2:23" ht="13">
      <c r="B126" s="18"/>
      <c r="C126" s="18"/>
      <c r="D126" s="18"/>
      <c r="E126" s="18"/>
      <c r="F126" s="18"/>
      <c r="G126" s="18"/>
      <c r="H126" s="18"/>
      <c r="I126" s="5"/>
      <c r="J126" s="5"/>
      <c r="K126" s="18"/>
      <c r="L126" s="5"/>
      <c r="M126" s="18"/>
      <c r="N126" s="19"/>
      <c r="O126" s="18"/>
      <c r="P126" s="5"/>
      <c r="Q126" s="5"/>
      <c r="R126" s="5"/>
      <c r="S126" s="5"/>
      <c r="T126" s="18"/>
      <c r="U126" s="19"/>
      <c r="V126" s="5"/>
      <c r="W126" s="19"/>
    </row>
    <row r="127" spans="2:23" ht="13"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5"/>
      <c r="Q127" s="5"/>
      <c r="R127" s="5"/>
      <c r="S127" s="5"/>
      <c r="T127" s="18"/>
      <c r="U127" s="19"/>
      <c r="V127" s="4"/>
      <c r="W127" s="19"/>
    </row>
    <row r="128" spans="2:23" ht="13"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</row>
    <row r="129" spans="2:23" ht="13">
      <c r="B129" s="19"/>
      <c r="C129" s="19"/>
      <c r="D129" s="19"/>
      <c r="E129" s="18"/>
      <c r="F129" s="18"/>
      <c r="G129" s="19"/>
      <c r="H129" s="18"/>
      <c r="I129" s="19"/>
      <c r="J129" s="19"/>
      <c r="K129" s="18"/>
      <c r="M129" s="18"/>
      <c r="N129" s="19"/>
      <c r="O129" s="18"/>
      <c r="P129" s="19"/>
      <c r="Q129" s="19"/>
      <c r="R129" s="19"/>
      <c r="S129" s="18"/>
      <c r="T129" s="18"/>
      <c r="U129" s="5"/>
      <c r="V129" s="18"/>
      <c r="W129" s="19"/>
    </row>
    <row r="130" spans="2:23" ht="13">
      <c r="B130" s="19"/>
      <c r="C130" s="19"/>
      <c r="D130" s="19"/>
      <c r="E130" s="18"/>
      <c r="F130" s="18"/>
      <c r="G130" s="19"/>
      <c r="H130" s="18"/>
      <c r="I130" s="19"/>
      <c r="J130" s="19"/>
      <c r="K130" s="18"/>
      <c r="M130" s="18"/>
      <c r="N130" s="19"/>
      <c r="O130" s="18"/>
      <c r="P130" s="19"/>
      <c r="Q130" s="19"/>
      <c r="R130" s="19"/>
      <c r="S130" s="18"/>
      <c r="T130" s="18"/>
      <c r="U130" s="5"/>
      <c r="V130" s="18"/>
      <c r="W130" s="19"/>
    </row>
    <row r="131" spans="2:23" ht="13">
      <c r="B131" s="18"/>
      <c r="C131" s="18"/>
      <c r="D131" s="18"/>
      <c r="E131" s="18"/>
      <c r="F131" s="18"/>
      <c r="G131" s="18"/>
      <c r="H131" s="18"/>
      <c r="I131" s="19"/>
      <c r="J131" s="19"/>
      <c r="K131" s="18"/>
      <c r="M131" s="18"/>
      <c r="N131" s="19"/>
      <c r="O131" s="18"/>
      <c r="P131" s="19"/>
      <c r="Q131" s="19"/>
      <c r="R131" s="19"/>
      <c r="S131" s="18"/>
      <c r="T131" s="18"/>
      <c r="U131" s="5"/>
      <c r="V131" s="18"/>
      <c r="W131" s="19"/>
    </row>
    <row r="132" spans="2:23" ht="13"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9"/>
      <c r="Q132" s="19"/>
      <c r="R132" s="19"/>
      <c r="S132" s="18"/>
      <c r="T132" s="18"/>
      <c r="U132" s="5"/>
      <c r="V132" s="18"/>
      <c r="W132" s="19"/>
    </row>
    <row r="133" spans="2:23" ht="13">
      <c r="B133" s="19"/>
      <c r="C133" s="19"/>
      <c r="D133" s="19"/>
      <c r="E133" s="18"/>
      <c r="F133" s="18"/>
      <c r="G133" s="18"/>
      <c r="H133" s="18"/>
      <c r="I133" s="19"/>
      <c r="J133" s="19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</row>
    <row r="134" spans="2:23" ht="13">
      <c r="B134" s="19"/>
      <c r="C134" s="19"/>
      <c r="D134" s="19"/>
      <c r="E134" s="18"/>
      <c r="F134" s="18"/>
      <c r="G134" s="18"/>
      <c r="H134" s="18"/>
      <c r="I134" s="19"/>
      <c r="J134" s="19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</row>
    <row r="135" spans="2:23" ht="13">
      <c r="B135" s="18"/>
      <c r="C135" s="18"/>
      <c r="D135" s="18"/>
      <c r="E135" s="18"/>
      <c r="F135" s="18"/>
      <c r="G135" s="18"/>
      <c r="H135" s="18"/>
      <c r="I135" s="19"/>
      <c r="J135" s="19"/>
      <c r="K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</row>
    <row r="137" spans="2:23" ht="13">
      <c r="B137" s="4"/>
      <c r="C137" s="4"/>
      <c r="D137" s="4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</row>
    <row r="138" spans="2:23" ht="13">
      <c r="B138" s="37"/>
      <c r="C138" s="38"/>
      <c r="D138" s="38"/>
      <c r="E138" s="18"/>
      <c r="F138" s="18"/>
      <c r="G138" s="18"/>
      <c r="H138" s="18"/>
      <c r="I138" s="37"/>
      <c r="J138" s="38"/>
      <c r="K138" s="38"/>
      <c r="L138" s="18"/>
      <c r="M138" s="18"/>
      <c r="N138" s="18"/>
      <c r="O138" s="18"/>
      <c r="P138" s="37"/>
      <c r="Q138" s="38"/>
      <c r="R138" s="38"/>
      <c r="S138" s="18"/>
      <c r="T138" s="18"/>
      <c r="U138" s="18"/>
      <c r="V138" s="18"/>
      <c r="W138" s="18"/>
    </row>
    <row r="139" spans="2:23" ht="13">
      <c r="B139" s="5"/>
      <c r="C139" s="5"/>
      <c r="D139" s="5"/>
      <c r="E139" s="5"/>
      <c r="F139" s="18"/>
      <c r="G139" s="19"/>
      <c r="H139" s="18"/>
      <c r="I139" s="5"/>
      <c r="J139" s="5"/>
      <c r="K139" s="18"/>
      <c r="L139" s="5"/>
      <c r="M139" s="18"/>
      <c r="N139" s="19"/>
      <c r="O139" s="18"/>
      <c r="P139" s="5"/>
      <c r="Q139" s="5"/>
      <c r="R139" s="5"/>
      <c r="S139" s="5"/>
      <c r="T139" s="18"/>
      <c r="U139" s="19"/>
      <c r="V139" s="5"/>
      <c r="W139" s="19"/>
    </row>
    <row r="140" spans="2:23" ht="13">
      <c r="B140" s="5"/>
      <c r="C140" s="5"/>
      <c r="D140" s="5"/>
      <c r="E140" s="5"/>
      <c r="F140" s="18"/>
      <c r="G140" s="19"/>
      <c r="H140" s="18"/>
      <c r="I140" s="5"/>
      <c r="J140" s="5"/>
      <c r="K140" s="18"/>
      <c r="L140" s="5"/>
      <c r="M140" s="18"/>
      <c r="N140" s="19"/>
      <c r="O140" s="18"/>
      <c r="P140" s="5"/>
      <c r="Q140" s="5"/>
      <c r="R140" s="5"/>
      <c r="S140" s="5"/>
      <c r="T140" s="18"/>
      <c r="U140" s="19"/>
      <c r="V140" s="4"/>
      <c r="W140" s="19"/>
    </row>
    <row r="141" spans="2:23" ht="13">
      <c r="B141" s="18"/>
      <c r="C141" s="18"/>
      <c r="D141" s="18"/>
      <c r="E141" s="18"/>
      <c r="F141" s="18"/>
      <c r="G141" s="18"/>
      <c r="H141" s="18"/>
      <c r="I141" s="5"/>
      <c r="J141" s="5"/>
      <c r="K141" s="18"/>
      <c r="L141" s="5"/>
      <c r="M141" s="18"/>
      <c r="N141" s="19"/>
      <c r="O141" s="18"/>
      <c r="P141" s="5"/>
      <c r="Q141" s="5"/>
      <c r="R141" s="5"/>
      <c r="S141" s="5"/>
      <c r="T141" s="18"/>
      <c r="U141" s="19"/>
      <c r="V141" s="5"/>
      <c r="W141" s="19"/>
    </row>
    <row r="142" spans="2:23" ht="13"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5"/>
      <c r="Q142" s="5"/>
      <c r="R142" s="5"/>
      <c r="S142" s="5"/>
      <c r="T142" s="18"/>
      <c r="U142" s="19"/>
      <c r="V142" s="4"/>
      <c r="W142" s="19"/>
    </row>
    <row r="143" spans="2:23" ht="13"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</row>
    <row r="144" spans="2:23" ht="13">
      <c r="B144" s="19"/>
      <c r="C144" s="19"/>
      <c r="D144" s="19"/>
      <c r="E144" s="18"/>
      <c r="F144" s="18"/>
      <c r="G144" s="19"/>
      <c r="H144" s="18"/>
      <c r="I144" s="19"/>
      <c r="J144" s="19"/>
      <c r="K144" s="18"/>
      <c r="M144" s="18"/>
      <c r="N144" s="19"/>
      <c r="O144" s="18"/>
      <c r="P144" s="19"/>
      <c r="Q144" s="19"/>
      <c r="R144" s="19"/>
      <c r="S144" s="18"/>
      <c r="T144" s="18"/>
      <c r="U144" s="5"/>
      <c r="V144" s="18"/>
      <c r="W144" s="19"/>
    </row>
    <row r="145" spans="2:23" ht="13">
      <c r="B145" s="19"/>
      <c r="C145" s="19"/>
      <c r="D145" s="19"/>
      <c r="E145" s="18"/>
      <c r="F145" s="18"/>
      <c r="G145" s="19"/>
      <c r="H145" s="18"/>
      <c r="I145" s="19"/>
      <c r="J145" s="19"/>
      <c r="K145" s="18"/>
      <c r="M145" s="18"/>
      <c r="N145" s="19"/>
      <c r="O145" s="18"/>
      <c r="P145" s="19"/>
      <c r="Q145" s="19"/>
      <c r="R145" s="19"/>
      <c r="S145" s="18"/>
      <c r="T145" s="18"/>
      <c r="U145" s="5"/>
      <c r="V145" s="18"/>
      <c r="W145" s="19"/>
    </row>
    <row r="146" spans="2:23" ht="13">
      <c r="B146" s="18"/>
      <c r="C146" s="18"/>
      <c r="D146" s="18"/>
      <c r="E146" s="18"/>
      <c r="F146" s="18"/>
      <c r="G146" s="18"/>
      <c r="H146" s="18"/>
      <c r="I146" s="19"/>
      <c r="J146" s="19"/>
      <c r="K146" s="18"/>
      <c r="M146" s="18"/>
      <c r="N146" s="19"/>
      <c r="O146" s="18"/>
      <c r="P146" s="19"/>
      <c r="Q146" s="19"/>
      <c r="R146" s="19"/>
      <c r="S146" s="18"/>
      <c r="T146" s="18"/>
      <c r="U146" s="5"/>
      <c r="V146" s="18"/>
      <c r="W146" s="19"/>
    </row>
    <row r="147" spans="2:23" ht="13"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9"/>
      <c r="Q147" s="19"/>
      <c r="R147" s="19"/>
      <c r="S147" s="18"/>
      <c r="T147" s="18"/>
      <c r="U147" s="5"/>
      <c r="V147" s="18"/>
      <c r="W147" s="19"/>
    </row>
    <row r="148" spans="2:23" ht="13">
      <c r="B148" s="19"/>
      <c r="C148" s="19"/>
      <c r="D148" s="19"/>
      <c r="E148" s="18"/>
      <c r="F148" s="18"/>
      <c r="G148" s="18"/>
      <c r="H148" s="18"/>
      <c r="I148" s="19"/>
      <c r="J148" s="19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</row>
    <row r="149" spans="2:23" ht="13">
      <c r="B149" s="19"/>
      <c r="C149" s="19"/>
      <c r="D149" s="19"/>
      <c r="E149" s="18"/>
      <c r="F149" s="18"/>
      <c r="G149" s="18"/>
      <c r="H149" s="18"/>
      <c r="I149" s="19"/>
      <c r="J149" s="19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</row>
    <row r="150" spans="2:23" ht="13">
      <c r="B150" s="18"/>
      <c r="C150" s="18"/>
      <c r="D150" s="18"/>
      <c r="E150" s="18"/>
      <c r="F150" s="18"/>
      <c r="G150" s="18"/>
      <c r="H150" s="18"/>
      <c r="I150" s="19"/>
      <c r="J150" s="19"/>
      <c r="K150" s="18"/>
      <c r="L150" s="20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</row>
    <row r="152" spans="2:23" ht="13">
      <c r="B152" s="4"/>
      <c r="C152" s="4"/>
      <c r="D152" s="4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</row>
    <row r="153" spans="2:23" ht="13">
      <c r="B153" s="37"/>
      <c r="C153" s="38"/>
      <c r="D153" s="38"/>
      <c r="E153" s="18"/>
      <c r="F153" s="18"/>
      <c r="G153" s="18"/>
      <c r="H153" s="18"/>
      <c r="I153" s="37"/>
      <c r="J153" s="38"/>
      <c r="K153" s="38"/>
      <c r="L153" s="18"/>
      <c r="M153" s="18"/>
      <c r="N153" s="18"/>
      <c r="O153" s="18"/>
      <c r="P153" s="37"/>
      <c r="Q153" s="38"/>
      <c r="R153" s="38"/>
      <c r="S153" s="18"/>
      <c r="T153" s="18"/>
      <c r="U153" s="18"/>
      <c r="V153" s="18"/>
      <c r="W153" s="18"/>
    </row>
    <row r="154" spans="2:23" ht="13">
      <c r="B154" s="5"/>
      <c r="C154" s="5"/>
      <c r="D154" s="5"/>
      <c r="E154" s="5"/>
      <c r="F154" s="18"/>
      <c r="G154" s="19"/>
      <c r="H154" s="18"/>
      <c r="I154" s="5"/>
      <c r="J154" s="5"/>
      <c r="K154" s="18"/>
      <c r="L154" s="5"/>
      <c r="M154" s="18"/>
      <c r="N154" s="19"/>
      <c r="O154" s="18"/>
      <c r="P154" s="5"/>
      <c r="Q154" s="5"/>
      <c r="R154" s="5"/>
      <c r="S154" s="5"/>
      <c r="T154" s="18"/>
      <c r="U154" s="19"/>
      <c r="V154" s="5"/>
      <c r="W154" s="19"/>
    </row>
    <row r="155" spans="2:23" ht="13">
      <c r="B155" s="5"/>
      <c r="C155" s="5"/>
      <c r="D155" s="5"/>
      <c r="E155" s="5"/>
      <c r="F155" s="18"/>
      <c r="G155" s="19"/>
      <c r="H155" s="18"/>
      <c r="I155" s="5"/>
      <c r="J155" s="5"/>
      <c r="K155" s="18"/>
      <c r="L155" s="5"/>
      <c r="M155" s="18"/>
      <c r="N155" s="19"/>
      <c r="O155" s="18"/>
      <c r="P155" s="5"/>
      <c r="Q155" s="5"/>
      <c r="R155" s="5"/>
      <c r="S155" s="5"/>
      <c r="T155" s="18"/>
      <c r="U155" s="19"/>
      <c r="V155" s="4"/>
      <c r="W155" s="19"/>
    </row>
    <row r="156" spans="2:23" ht="13">
      <c r="B156" s="18"/>
      <c r="C156" s="18"/>
      <c r="D156" s="18"/>
      <c r="E156" s="18"/>
      <c r="F156" s="18"/>
      <c r="G156" s="18"/>
      <c r="H156" s="18"/>
      <c r="I156" s="5"/>
      <c r="J156" s="5"/>
      <c r="K156" s="18"/>
      <c r="L156" s="5"/>
      <c r="M156" s="18"/>
      <c r="N156" s="19"/>
      <c r="O156" s="18"/>
      <c r="P156" s="5"/>
      <c r="Q156" s="5"/>
      <c r="R156" s="5"/>
      <c r="S156" s="5"/>
      <c r="T156" s="18"/>
      <c r="U156" s="19"/>
      <c r="V156" s="4"/>
      <c r="W156" s="19"/>
    </row>
    <row r="157" spans="2:23" ht="13"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5"/>
      <c r="Q157" s="5"/>
      <c r="R157" s="5"/>
      <c r="S157" s="5"/>
      <c r="T157" s="18"/>
      <c r="U157" s="19"/>
      <c r="V157" s="4"/>
      <c r="W157" s="19"/>
    </row>
    <row r="158" spans="2:23" ht="13">
      <c r="B158" s="18"/>
      <c r="C158" s="18"/>
      <c r="D158" s="18"/>
      <c r="F158" s="18"/>
      <c r="G158" s="18"/>
      <c r="H158" s="18"/>
      <c r="I158" s="18"/>
      <c r="J158" s="18"/>
      <c r="K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</row>
    <row r="159" spans="2:23" ht="13">
      <c r="B159" s="19"/>
      <c r="C159" s="19"/>
      <c r="D159" s="19"/>
      <c r="F159" s="18"/>
      <c r="G159" s="19"/>
      <c r="H159" s="18"/>
      <c r="I159" s="19"/>
      <c r="J159" s="19"/>
      <c r="K159" s="18"/>
      <c r="M159" s="18"/>
      <c r="N159" s="19"/>
      <c r="O159" s="18"/>
      <c r="P159" s="19"/>
      <c r="Q159" s="19"/>
      <c r="R159" s="19"/>
      <c r="S159" s="18"/>
      <c r="T159" s="18"/>
      <c r="U159" s="5"/>
      <c r="V159" s="18"/>
      <c r="W159" s="19"/>
    </row>
    <row r="160" spans="2:23" ht="13">
      <c r="B160" s="19"/>
      <c r="C160" s="19"/>
      <c r="D160" s="19"/>
      <c r="F160" s="18"/>
      <c r="G160" s="19"/>
      <c r="H160" s="18"/>
      <c r="I160" s="19"/>
      <c r="J160" s="19"/>
      <c r="K160" s="18"/>
      <c r="M160" s="18"/>
      <c r="N160" s="19"/>
      <c r="O160" s="18"/>
      <c r="P160" s="19"/>
      <c r="Q160" s="19"/>
      <c r="R160" s="19"/>
      <c r="S160" s="18"/>
      <c r="T160" s="18"/>
      <c r="U160" s="5"/>
      <c r="V160" s="18"/>
      <c r="W160" s="19"/>
    </row>
    <row r="161" spans="2:23" ht="13">
      <c r="B161" s="18"/>
      <c r="C161" s="18"/>
      <c r="D161" s="18"/>
      <c r="E161" s="18"/>
      <c r="F161" s="18"/>
      <c r="G161" s="18"/>
      <c r="H161" s="18"/>
      <c r="I161" s="19"/>
      <c r="J161" s="19"/>
      <c r="K161" s="18"/>
      <c r="M161" s="18"/>
      <c r="N161" s="19"/>
      <c r="O161" s="18"/>
      <c r="P161" s="19"/>
      <c r="Q161" s="19"/>
      <c r="R161" s="19"/>
      <c r="S161" s="18"/>
      <c r="T161" s="18"/>
      <c r="U161" s="5"/>
      <c r="V161" s="18"/>
      <c r="W161" s="19"/>
    </row>
    <row r="162" spans="2:23" ht="13"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9"/>
      <c r="Q162" s="19"/>
      <c r="R162" s="19"/>
      <c r="S162" s="18"/>
      <c r="T162" s="18"/>
      <c r="U162" s="5"/>
      <c r="V162" s="18"/>
      <c r="W162" s="19"/>
    </row>
    <row r="163" spans="2:23" ht="13">
      <c r="B163" s="19"/>
      <c r="C163" s="19"/>
      <c r="D163" s="19"/>
      <c r="E163" s="18"/>
      <c r="F163" s="18"/>
      <c r="G163" s="18"/>
      <c r="H163" s="18"/>
      <c r="I163" s="19"/>
      <c r="J163" s="19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</row>
    <row r="164" spans="2:23" ht="13">
      <c r="B164" s="19"/>
      <c r="C164" s="19"/>
      <c r="D164" s="19"/>
      <c r="F164" s="18"/>
      <c r="G164" s="18"/>
      <c r="H164" s="18"/>
      <c r="I164" s="19"/>
      <c r="J164" s="19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</row>
    <row r="165" spans="2:23" ht="13">
      <c r="B165" s="18"/>
      <c r="C165" s="18"/>
      <c r="D165" s="18"/>
      <c r="E165" s="18"/>
      <c r="F165" s="18"/>
      <c r="G165" s="18"/>
      <c r="H165" s="18"/>
      <c r="I165" s="19"/>
      <c r="J165" s="19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</row>
    <row r="167" spans="2:23" ht="13">
      <c r="B167" s="4"/>
      <c r="C167" s="4"/>
      <c r="D167" s="4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</row>
    <row r="168" spans="2:23" ht="13">
      <c r="B168" s="37"/>
      <c r="C168" s="38"/>
      <c r="D168" s="38"/>
      <c r="E168" s="18"/>
      <c r="F168" s="18"/>
      <c r="G168" s="18"/>
      <c r="H168" s="18"/>
      <c r="I168" s="37"/>
      <c r="J168" s="38"/>
      <c r="K168" s="38"/>
      <c r="L168" s="18"/>
      <c r="M168" s="18"/>
      <c r="N168" s="18"/>
      <c r="O168" s="18"/>
      <c r="P168" s="37"/>
      <c r="Q168" s="38"/>
      <c r="R168" s="38"/>
      <c r="S168" s="18"/>
      <c r="T168" s="18"/>
      <c r="U168" s="18"/>
      <c r="V168" s="18"/>
      <c r="W168" s="18"/>
    </row>
    <row r="169" spans="2:23" ht="13">
      <c r="B169" s="5"/>
      <c r="C169" s="5"/>
      <c r="D169" s="5"/>
      <c r="E169" s="5"/>
      <c r="F169" s="18"/>
      <c r="G169" s="19"/>
      <c r="H169" s="18"/>
      <c r="I169" s="5"/>
      <c r="J169" s="5"/>
      <c r="K169" s="18"/>
      <c r="L169" s="5"/>
      <c r="M169" s="18"/>
      <c r="N169" s="19"/>
      <c r="O169" s="18"/>
      <c r="P169" s="5"/>
      <c r="Q169" s="5"/>
      <c r="R169" s="5"/>
      <c r="S169" s="5"/>
      <c r="T169" s="18"/>
      <c r="U169" s="19"/>
      <c r="V169" s="4"/>
      <c r="W169" s="19"/>
    </row>
    <row r="170" spans="2:23" ht="13">
      <c r="B170" s="5"/>
      <c r="C170" s="5"/>
      <c r="D170" s="5"/>
      <c r="E170" s="4"/>
      <c r="F170" s="18"/>
      <c r="G170" s="19"/>
      <c r="H170" s="18"/>
      <c r="I170" s="5"/>
      <c r="J170" s="5"/>
      <c r="K170" s="18"/>
      <c r="L170" s="5"/>
      <c r="M170" s="18"/>
      <c r="N170" s="19"/>
      <c r="O170" s="18"/>
      <c r="P170" s="5"/>
      <c r="Q170" s="5"/>
      <c r="R170" s="5"/>
      <c r="S170" s="5"/>
      <c r="T170" s="18"/>
      <c r="U170" s="19"/>
      <c r="V170" s="4"/>
      <c r="W170" s="19"/>
    </row>
    <row r="171" spans="2:23" ht="13">
      <c r="B171" s="18"/>
      <c r="C171" s="18"/>
      <c r="D171" s="18"/>
      <c r="E171" s="18"/>
      <c r="F171" s="18"/>
      <c r="G171" s="18"/>
      <c r="H171" s="18"/>
      <c r="I171" s="5"/>
      <c r="J171" s="5"/>
      <c r="K171" s="18"/>
      <c r="L171" s="5"/>
      <c r="M171" s="18"/>
      <c r="N171" s="19"/>
      <c r="O171" s="18"/>
      <c r="P171" s="5"/>
      <c r="Q171" s="5"/>
      <c r="R171" s="5"/>
      <c r="S171" s="5"/>
      <c r="T171" s="18"/>
      <c r="U171" s="19"/>
      <c r="V171" s="4"/>
      <c r="W171" s="19"/>
    </row>
    <row r="172" spans="2:23" ht="13"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5"/>
      <c r="Q172" s="5"/>
      <c r="R172" s="5"/>
      <c r="S172" s="5"/>
      <c r="T172" s="18"/>
      <c r="U172" s="19"/>
      <c r="V172" s="4"/>
      <c r="W172" s="19"/>
    </row>
    <row r="173" spans="2:23" ht="13">
      <c r="B173" s="18"/>
      <c r="C173" s="18"/>
      <c r="D173" s="18"/>
      <c r="F173" s="18"/>
      <c r="G173" s="18"/>
      <c r="H173" s="18"/>
      <c r="I173" s="18"/>
      <c r="J173" s="18"/>
      <c r="K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</row>
    <row r="174" spans="2:23" ht="13">
      <c r="B174" s="19"/>
      <c r="C174" s="19"/>
      <c r="D174" s="19"/>
      <c r="F174" s="18"/>
      <c r="G174" s="19"/>
      <c r="H174" s="18"/>
      <c r="I174" s="19"/>
      <c r="J174" s="19"/>
      <c r="K174" s="18"/>
      <c r="M174" s="18"/>
      <c r="N174" s="19"/>
      <c r="O174" s="18"/>
      <c r="P174" s="19"/>
      <c r="Q174" s="19"/>
      <c r="R174" s="19"/>
      <c r="S174" s="18"/>
      <c r="T174" s="18"/>
      <c r="U174" s="5"/>
      <c r="V174" s="18"/>
      <c r="W174" s="19"/>
    </row>
    <row r="175" spans="2:23" ht="13">
      <c r="B175" s="19"/>
      <c r="C175" s="19"/>
      <c r="D175" s="19"/>
      <c r="F175" s="18"/>
      <c r="G175" s="19"/>
      <c r="H175" s="18"/>
      <c r="I175" s="19"/>
      <c r="J175" s="19"/>
      <c r="K175" s="18"/>
      <c r="M175" s="18"/>
      <c r="N175" s="19"/>
      <c r="O175" s="18"/>
      <c r="P175" s="19"/>
      <c r="Q175" s="19"/>
      <c r="R175" s="19"/>
      <c r="S175" s="18"/>
      <c r="T175" s="18"/>
      <c r="U175" s="5"/>
      <c r="V175" s="18"/>
      <c r="W175" s="19"/>
    </row>
    <row r="176" spans="2:23" ht="13">
      <c r="B176" s="18"/>
      <c r="C176" s="18"/>
      <c r="D176" s="18"/>
      <c r="E176" s="18"/>
      <c r="F176" s="18"/>
      <c r="G176" s="18"/>
      <c r="H176" s="18"/>
      <c r="I176" s="19"/>
      <c r="J176" s="19"/>
      <c r="K176" s="18"/>
      <c r="M176" s="18"/>
      <c r="N176" s="19"/>
      <c r="O176" s="18"/>
      <c r="P176" s="19"/>
      <c r="Q176" s="19"/>
      <c r="R176" s="19"/>
      <c r="S176" s="18"/>
      <c r="T176" s="18"/>
      <c r="U176" s="5"/>
      <c r="V176" s="18"/>
      <c r="W176" s="19"/>
    </row>
    <row r="177" spans="2:23" ht="13"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9"/>
      <c r="Q177" s="19"/>
      <c r="R177" s="19"/>
      <c r="S177" s="18"/>
      <c r="T177" s="18"/>
      <c r="U177" s="5"/>
      <c r="V177" s="18"/>
      <c r="W177" s="19"/>
    </row>
    <row r="178" spans="2:23" ht="13">
      <c r="B178" s="19"/>
      <c r="C178" s="19"/>
      <c r="D178" s="19"/>
      <c r="E178" s="18"/>
      <c r="F178" s="18"/>
      <c r="G178" s="18"/>
      <c r="H178" s="18"/>
      <c r="I178" s="19"/>
      <c r="J178" s="19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</row>
    <row r="179" spans="2:23" ht="13">
      <c r="B179" s="19"/>
      <c r="C179" s="19"/>
      <c r="D179" s="19"/>
      <c r="F179" s="18"/>
      <c r="G179" s="18"/>
      <c r="H179" s="18"/>
      <c r="I179" s="19"/>
      <c r="J179" s="19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</row>
    <row r="180" spans="2:23" ht="13">
      <c r="B180" s="18"/>
      <c r="C180" s="18"/>
      <c r="D180" s="18"/>
      <c r="E180" s="18"/>
      <c r="F180" s="18"/>
      <c r="G180" s="18"/>
      <c r="H180" s="18"/>
      <c r="I180" s="19"/>
      <c r="J180" s="19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</row>
    <row r="182" spans="2:23" ht="13">
      <c r="B182" s="4"/>
      <c r="C182" s="4"/>
      <c r="D182" s="4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</row>
    <row r="183" spans="2:23" ht="13">
      <c r="B183" s="37"/>
      <c r="C183" s="38"/>
      <c r="D183" s="38"/>
      <c r="E183" s="18"/>
      <c r="F183" s="18"/>
      <c r="G183" s="18"/>
      <c r="H183" s="18"/>
      <c r="I183" s="37"/>
      <c r="J183" s="38"/>
      <c r="K183" s="38"/>
      <c r="L183" s="18"/>
      <c r="M183" s="18"/>
      <c r="N183" s="18"/>
      <c r="O183" s="18"/>
      <c r="P183" s="37"/>
      <c r="Q183" s="38"/>
      <c r="R183" s="38"/>
      <c r="S183" s="18"/>
      <c r="T183" s="18"/>
      <c r="U183" s="18"/>
      <c r="V183" s="18"/>
      <c r="W183" s="18"/>
    </row>
    <row r="184" spans="2:23" ht="13">
      <c r="B184" s="5"/>
      <c r="C184" s="4"/>
      <c r="D184" s="5"/>
      <c r="E184" s="5"/>
      <c r="F184" s="18"/>
      <c r="G184" s="19"/>
      <c r="H184" s="18"/>
      <c r="I184" s="5"/>
      <c r="J184" s="5"/>
      <c r="K184" s="18"/>
      <c r="L184" s="5"/>
      <c r="M184" s="18"/>
      <c r="N184" s="19"/>
      <c r="O184" s="18"/>
      <c r="P184" s="5"/>
      <c r="Q184" s="5"/>
      <c r="R184" s="5"/>
      <c r="S184" s="5"/>
      <c r="T184" s="18"/>
      <c r="U184" s="19"/>
      <c r="V184" s="4"/>
      <c r="W184" s="19"/>
    </row>
    <row r="185" spans="2:23" ht="13">
      <c r="B185" s="5"/>
      <c r="C185" s="4"/>
      <c r="D185" s="5"/>
      <c r="E185" s="4"/>
      <c r="F185" s="18"/>
      <c r="G185" s="19"/>
      <c r="H185" s="18"/>
      <c r="I185" s="5"/>
      <c r="J185" s="5"/>
      <c r="K185" s="18"/>
      <c r="L185" s="5"/>
      <c r="M185" s="18"/>
      <c r="N185" s="19"/>
      <c r="O185" s="18"/>
      <c r="P185" s="5"/>
      <c r="Q185" s="5"/>
      <c r="R185" s="5"/>
      <c r="S185" s="5"/>
      <c r="T185" s="18"/>
      <c r="U185" s="19"/>
      <c r="V185" s="4"/>
      <c r="W185" s="19"/>
    </row>
    <row r="186" spans="2:23" ht="13">
      <c r="B186" s="18"/>
      <c r="C186" s="18"/>
      <c r="D186" s="18"/>
      <c r="E186" s="18"/>
      <c r="F186" s="18"/>
      <c r="G186" s="18"/>
      <c r="H186" s="18"/>
      <c r="I186" s="5"/>
      <c r="J186" s="5"/>
      <c r="K186" s="18"/>
      <c r="L186" s="5"/>
      <c r="M186" s="18"/>
      <c r="N186" s="19"/>
      <c r="O186" s="18"/>
      <c r="P186" s="5"/>
      <c r="Q186" s="5"/>
      <c r="R186" s="5"/>
      <c r="S186" s="5"/>
      <c r="T186" s="18"/>
      <c r="U186" s="19"/>
      <c r="V186" s="4"/>
      <c r="W186" s="19"/>
    </row>
    <row r="187" spans="2:23" ht="13"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5"/>
      <c r="Q187" s="5"/>
      <c r="R187" s="5"/>
      <c r="S187" s="5"/>
      <c r="T187" s="18"/>
      <c r="U187" s="19"/>
      <c r="V187" s="4"/>
      <c r="W187" s="19"/>
    </row>
    <row r="188" spans="2:23" ht="13">
      <c r="B188" s="18"/>
      <c r="C188" s="18"/>
      <c r="D188" s="18"/>
      <c r="F188" s="18"/>
      <c r="G188" s="18"/>
      <c r="H188" s="18"/>
      <c r="I188" s="18"/>
      <c r="J188" s="18"/>
      <c r="K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</row>
    <row r="189" spans="2:23" ht="13">
      <c r="B189" s="19"/>
      <c r="C189" s="19"/>
      <c r="D189" s="19"/>
      <c r="F189" s="18"/>
      <c r="G189" s="19"/>
      <c r="H189" s="18"/>
      <c r="I189" s="19"/>
      <c r="J189" s="19"/>
      <c r="K189" s="18"/>
      <c r="M189" s="18"/>
      <c r="N189" s="19"/>
      <c r="O189" s="18"/>
      <c r="P189" s="19"/>
      <c r="Q189" s="19"/>
      <c r="R189" s="19"/>
      <c r="S189" s="18"/>
      <c r="T189" s="18"/>
      <c r="U189" s="5"/>
      <c r="V189" s="18"/>
      <c r="W189" s="19"/>
    </row>
    <row r="190" spans="2:23" ht="13">
      <c r="B190" s="19"/>
      <c r="C190" s="19"/>
      <c r="D190" s="19"/>
      <c r="F190" s="18"/>
      <c r="G190" s="19"/>
      <c r="H190" s="18"/>
      <c r="I190" s="19"/>
      <c r="J190" s="19"/>
      <c r="K190" s="18"/>
      <c r="M190" s="18"/>
      <c r="N190" s="19"/>
      <c r="O190" s="18"/>
      <c r="P190" s="19"/>
      <c r="Q190" s="19"/>
      <c r="R190" s="19"/>
      <c r="S190" s="18"/>
      <c r="T190" s="18"/>
      <c r="U190" s="5"/>
      <c r="V190" s="18"/>
      <c r="W190" s="19"/>
    </row>
    <row r="191" spans="2:23" ht="13">
      <c r="B191" s="18"/>
      <c r="C191" s="18"/>
      <c r="D191" s="18"/>
      <c r="E191" s="18"/>
      <c r="F191" s="18"/>
      <c r="G191" s="18"/>
      <c r="H191" s="18"/>
      <c r="I191" s="19"/>
      <c r="J191" s="19"/>
      <c r="K191" s="18"/>
      <c r="M191" s="18"/>
      <c r="N191" s="19"/>
      <c r="O191" s="18"/>
      <c r="P191" s="19"/>
      <c r="Q191" s="19"/>
      <c r="R191" s="19"/>
      <c r="S191" s="18"/>
      <c r="T191" s="18"/>
      <c r="U191" s="5"/>
      <c r="V191" s="18"/>
      <c r="W191" s="19"/>
    </row>
    <row r="192" spans="2:23" ht="13"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9"/>
      <c r="Q192" s="19"/>
      <c r="R192" s="19"/>
      <c r="S192" s="18"/>
      <c r="T192" s="18"/>
      <c r="U192" s="5"/>
      <c r="V192" s="18"/>
      <c r="W192" s="19"/>
    </row>
    <row r="193" spans="2:23" ht="13">
      <c r="B193" s="19"/>
      <c r="C193" s="19"/>
      <c r="D193" s="19"/>
      <c r="E193" s="18"/>
      <c r="F193" s="18"/>
      <c r="G193" s="18"/>
      <c r="H193" s="18"/>
      <c r="I193" s="19"/>
      <c r="J193" s="19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</row>
    <row r="194" spans="2:23" ht="13">
      <c r="B194" s="19"/>
      <c r="C194" s="19"/>
      <c r="D194" s="19"/>
      <c r="E194" s="18"/>
      <c r="F194" s="18"/>
      <c r="G194" s="18"/>
      <c r="H194" s="18"/>
      <c r="I194" s="19"/>
      <c r="J194" s="19"/>
      <c r="K194" s="18"/>
      <c r="L194" s="18"/>
      <c r="M194" s="18"/>
      <c r="N194" s="18"/>
      <c r="O194" s="18"/>
      <c r="P194" s="18"/>
      <c r="Q194" s="18"/>
      <c r="R194" s="18"/>
      <c r="S194" s="18"/>
      <c r="V194" s="18"/>
      <c r="W194" s="18"/>
    </row>
    <row r="195" spans="2:23" ht="13">
      <c r="B195" s="18"/>
      <c r="C195" s="18"/>
      <c r="D195" s="18"/>
      <c r="E195" s="18"/>
      <c r="F195" s="18"/>
      <c r="G195" s="18"/>
      <c r="H195" s="18"/>
      <c r="I195" s="19"/>
      <c r="J195" s="19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</row>
    <row r="197" spans="2:23" ht="13">
      <c r="B197" s="4"/>
      <c r="C197" s="4"/>
      <c r="D197" s="4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</row>
    <row r="198" spans="2:23" ht="13">
      <c r="B198" s="37"/>
      <c r="C198" s="38"/>
      <c r="D198" s="38"/>
      <c r="E198" s="18"/>
      <c r="F198" s="18"/>
      <c r="G198" s="18"/>
      <c r="H198" s="18"/>
      <c r="I198" s="37"/>
      <c r="J198" s="38"/>
      <c r="K198" s="38"/>
      <c r="L198" s="18"/>
      <c r="M198" s="18"/>
      <c r="N198" s="18"/>
      <c r="O198" s="18"/>
      <c r="P198" s="37"/>
      <c r="Q198" s="38"/>
      <c r="R198" s="38"/>
      <c r="S198" s="18"/>
      <c r="T198" s="18"/>
      <c r="U198" s="18"/>
      <c r="V198" s="18"/>
      <c r="W198" s="18"/>
    </row>
    <row r="199" spans="2:23" ht="13">
      <c r="B199" s="5"/>
      <c r="C199" s="4"/>
      <c r="D199" s="5"/>
      <c r="E199" s="5"/>
      <c r="F199" s="18"/>
      <c r="G199" s="19"/>
      <c r="H199" s="18"/>
      <c r="I199" s="5"/>
      <c r="J199" s="5"/>
      <c r="K199" s="18"/>
      <c r="L199" s="5"/>
      <c r="M199" s="18"/>
      <c r="N199" s="19"/>
      <c r="O199" s="18"/>
      <c r="P199" s="5"/>
      <c r="Q199" s="5"/>
      <c r="R199" s="5"/>
      <c r="S199" s="5"/>
      <c r="T199" s="18"/>
      <c r="U199" s="19"/>
      <c r="V199" s="4"/>
      <c r="W199" s="19"/>
    </row>
    <row r="200" spans="2:23" ht="13">
      <c r="B200" s="5"/>
      <c r="C200" s="4"/>
      <c r="D200" s="4"/>
      <c r="E200" s="4"/>
      <c r="F200" s="18"/>
      <c r="G200" s="19"/>
      <c r="H200" s="18"/>
      <c r="I200" s="5"/>
      <c r="J200" s="4"/>
      <c r="K200" s="18"/>
      <c r="L200" s="5"/>
      <c r="M200" s="18"/>
      <c r="N200" s="19"/>
      <c r="O200" s="18"/>
      <c r="P200" s="5"/>
      <c r="Q200" s="5"/>
      <c r="R200" s="5"/>
      <c r="S200" s="5"/>
      <c r="T200" s="18"/>
      <c r="U200" s="19"/>
      <c r="V200" s="4"/>
      <c r="W200" s="19"/>
    </row>
    <row r="201" spans="2:23" ht="13">
      <c r="B201" s="18"/>
      <c r="C201" s="18"/>
      <c r="D201" s="18"/>
      <c r="E201" s="18"/>
      <c r="F201" s="18"/>
      <c r="G201" s="18"/>
      <c r="H201" s="18"/>
      <c r="I201" s="5"/>
      <c r="J201" s="4"/>
      <c r="K201" s="18"/>
      <c r="L201" s="5"/>
      <c r="M201" s="18"/>
      <c r="N201" s="19"/>
      <c r="O201" s="18"/>
      <c r="P201" s="5"/>
      <c r="Q201" s="5"/>
      <c r="R201" s="5"/>
      <c r="S201" s="5"/>
      <c r="T201" s="18"/>
      <c r="U201" s="19"/>
      <c r="V201" s="4"/>
      <c r="W201" s="19"/>
    </row>
    <row r="202" spans="2:23" ht="13"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5"/>
      <c r="Q202" s="5"/>
      <c r="R202" s="5"/>
      <c r="S202" s="5"/>
      <c r="T202" s="18"/>
      <c r="U202" s="19"/>
      <c r="V202" s="4"/>
      <c r="W202" s="19"/>
    </row>
    <row r="203" spans="2:23" ht="13">
      <c r="B203" s="18"/>
      <c r="C203" s="18"/>
      <c r="D203" s="18"/>
      <c r="F203" s="18"/>
      <c r="G203" s="18"/>
      <c r="H203" s="18"/>
      <c r="I203" s="18"/>
      <c r="J203" s="18"/>
      <c r="K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</row>
    <row r="204" spans="2:23" ht="13">
      <c r="B204" s="19"/>
      <c r="C204" s="19"/>
      <c r="D204" s="19"/>
      <c r="F204" s="18"/>
      <c r="G204" s="19"/>
      <c r="H204" s="18"/>
      <c r="I204" s="19"/>
      <c r="J204" s="19"/>
      <c r="K204" s="18"/>
      <c r="M204" s="18"/>
      <c r="N204" s="19"/>
      <c r="O204" s="18"/>
      <c r="P204" s="19"/>
      <c r="Q204" s="19"/>
      <c r="R204" s="19"/>
      <c r="S204" s="18"/>
      <c r="T204" s="18"/>
      <c r="U204" s="5"/>
      <c r="V204" s="18"/>
      <c r="W204" s="19"/>
    </row>
    <row r="205" spans="2:23" ht="13">
      <c r="B205" s="19"/>
      <c r="C205" s="19"/>
      <c r="D205" s="19"/>
      <c r="F205" s="18"/>
      <c r="G205" s="19"/>
      <c r="H205" s="18"/>
      <c r="I205" s="19"/>
      <c r="J205" s="19"/>
      <c r="K205" s="18"/>
      <c r="M205" s="18"/>
      <c r="N205" s="19"/>
      <c r="O205" s="18"/>
      <c r="P205" s="19"/>
      <c r="Q205" s="19"/>
      <c r="R205" s="19"/>
      <c r="S205" s="18"/>
      <c r="T205" s="18"/>
      <c r="U205" s="5"/>
      <c r="V205" s="18"/>
      <c r="W205" s="19"/>
    </row>
    <row r="206" spans="2:23" ht="13">
      <c r="B206" s="18"/>
      <c r="C206" s="18"/>
      <c r="D206" s="18"/>
      <c r="E206" s="18"/>
      <c r="F206" s="18"/>
      <c r="G206" s="18"/>
      <c r="H206" s="18"/>
      <c r="I206" s="19"/>
      <c r="J206" s="19"/>
      <c r="K206" s="18"/>
      <c r="M206" s="18"/>
      <c r="N206" s="19"/>
      <c r="O206" s="18"/>
      <c r="P206" s="19"/>
      <c r="Q206" s="19"/>
      <c r="R206" s="19"/>
      <c r="S206" s="18"/>
      <c r="T206" s="18"/>
      <c r="U206" s="5"/>
      <c r="V206" s="18"/>
      <c r="W206" s="19"/>
    </row>
    <row r="207" spans="2:23" ht="13"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9"/>
      <c r="Q207" s="19"/>
      <c r="R207" s="19"/>
      <c r="S207" s="18"/>
      <c r="T207" s="18"/>
      <c r="U207" s="5"/>
      <c r="V207" s="18"/>
      <c r="W207" s="19"/>
    </row>
    <row r="208" spans="2:23" ht="13">
      <c r="B208" s="19"/>
      <c r="C208" s="19"/>
      <c r="D208" s="19"/>
      <c r="E208" s="18"/>
      <c r="F208" s="18"/>
      <c r="G208" s="18"/>
      <c r="H208" s="18"/>
      <c r="I208" s="19"/>
      <c r="J208" s="19"/>
      <c r="K208" s="18"/>
      <c r="L208" s="18"/>
      <c r="M208" s="18"/>
      <c r="N208" s="18"/>
      <c r="O208" s="18"/>
      <c r="P208" s="18"/>
      <c r="Q208" s="18"/>
      <c r="R208" s="18"/>
      <c r="S208" s="18"/>
      <c r="U208" s="18"/>
      <c r="V208" s="18"/>
      <c r="W208" s="18"/>
    </row>
    <row r="209" spans="2:23" ht="13">
      <c r="B209" s="19"/>
      <c r="C209" s="19"/>
      <c r="D209" s="19"/>
      <c r="E209" s="18"/>
      <c r="F209" s="18"/>
      <c r="G209" s="18"/>
      <c r="H209" s="18"/>
      <c r="I209" s="19"/>
      <c r="J209" s="19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</row>
    <row r="210" spans="2:23" ht="13">
      <c r="B210" s="18"/>
      <c r="C210" s="18"/>
      <c r="D210" s="18"/>
      <c r="E210" s="18"/>
      <c r="F210" s="18"/>
      <c r="G210" s="18"/>
      <c r="H210" s="18"/>
      <c r="I210" s="19"/>
      <c r="J210" s="19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</row>
    <row r="212" spans="2:23" ht="13">
      <c r="B212" s="4"/>
      <c r="C212" s="4"/>
      <c r="D212" s="4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</row>
    <row r="213" spans="2:23" ht="13">
      <c r="B213" s="37"/>
      <c r="C213" s="38"/>
      <c r="D213" s="38"/>
      <c r="E213" s="18"/>
      <c r="F213" s="18"/>
      <c r="G213" s="18"/>
      <c r="H213" s="18"/>
      <c r="I213" s="37"/>
      <c r="J213" s="38"/>
      <c r="K213" s="38"/>
      <c r="L213" s="18"/>
      <c r="M213" s="18"/>
      <c r="N213" s="18"/>
      <c r="O213" s="18"/>
      <c r="P213" s="37"/>
      <c r="Q213" s="38"/>
      <c r="R213" s="38"/>
      <c r="S213" s="18"/>
      <c r="T213" s="18"/>
      <c r="U213" s="18"/>
      <c r="V213" s="18"/>
      <c r="W213" s="18"/>
    </row>
    <row r="214" spans="2:23" ht="13">
      <c r="B214" s="5"/>
      <c r="C214" s="4"/>
      <c r="D214" s="5"/>
      <c r="E214" s="5"/>
      <c r="F214" s="18"/>
      <c r="G214" s="19"/>
      <c r="H214" s="18"/>
      <c r="I214" s="5"/>
      <c r="J214" s="5"/>
      <c r="K214" s="18"/>
      <c r="L214" s="5"/>
      <c r="M214" s="18"/>
      <c r="N214" s="19"/>
      <c r="O214" s="18"/>
      <c r="P214" s="5"/>
      <c r="Q214" s="4"/>
      <c r="R214" s="5"/>
      <c r="S214" s="5"/>
      <c r="T214" s="18"/>
      <c r="U214" s="19"/>
      <c r="V214" s="4"/>
      <c r="W214" s="19"/>
    </row>
    <row r="215" spans="2:23" ht="13">
      <c r="B215" s="5"/>
      <c r="C215" s="4"/>
      <c r="D215" s="4"/>
      <c r="E215" s="4"/>
      <c r="F215" s="18"/>
      <c r="G215" s="19"/>
      <c r="H215" s="18"/>
      <c r="I215" s="5"/>
      <c r="J215" s="4"/>
      <c r="K215" s="18"/>
      <c r="L215" s="5"/>
      <c r="M215" s="18"/>
      <c r="N215" s="19"/>
      <c r="O215" s="18"/>
      <c r="P215" s="5"/>
      <c r="Q215" s="5"/>
      <c r="R215" s="5"/>
      <c r="S215" s="5"/>
      <c r="T215" s="18"/>
      <c r="U215" s="19"/>
      <c r="V215" s="4"/>
      <c r="W215" s="19"/>
    </row>
    <row r="216" spans="2:23" ht="13">
      <c r="B216" s="18"/>
      <c r="C216" s="18"/>
      <c r="D216" s="18"/>
      <c r="E216" s="18"/>
      <c r="F216" s="18"/>
      <c r="G216" s="18"/>
      <c r="H216" s="18"/>
      <c r="I216" s="5"/>
      <c r="J216" s="4"/>
      <c r="K216" s="18"/>
      <c r="L216" s="5"/>
      <c r="M216" s="18"/>
      <c r="N216" s="19"/>
      <c r="O216" s="18"/>
      <c r="P216" s="5"/>
      <c r="Q216" s="5"/>
      <c r="R216" s="5"/>
      <c r="S216" s="5"/>
      <c r="T216" s="18"/>
      <c r="U216" s="19"/>
      <c r="V216" s="4"/>
      <c r="W216" s="19"/>
    </row>
    <row r="217" spans="2:23" ht="13"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5"/>
      <c r="Q217" s="5"/>
      <c r="R217" s="5"/>
      <c r="S217" s="5"/>
      <c r="T217" s="18"/>
      <c r="U217" s="19"/>
      <c r="V217" s="4"/>
      <c r="W217" s="19"/>
    </row>
    <row r="218" spans="2:23" ht="13">
      <c r="B218" s="18"/>
      <c r="C218" s="18"/>
      <c r="D218" s="18"/>
      <c r="F218" s="18"/>
      <c r="G218" s="18"/>
      <c r="H218" s="18"/>
      <c r="I218" s="18"/>
      <c r="J218" s="18"/>
      <c r="K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</row>
    <row r="219" spans="2:23" ht="13">
      <c r="B219" s="19"/>
      <c r="C219" s="19"/>
      <c r="D219" s="19"/>
      <c r="F219" s="18"/>
      <c r="G219" s="19"/>
      <c r="H219" s="18"/>
      <c r="I219" s="19"/>
      <c r="J219" s="19"/>
      <c r="K219" s="18"/>
      <c r="M219" s="18"/>
      <c r="N219" s="19"/>
      <c r="O219" s="18"/>
      <c r="P219" s="19"/>
      <c r="Q219" s="19"/>
      <c r="R219" s="19"/>
      <c r="S219" s="18"/>
      <c r="T219" s="18"/>
      <c r="U219" s="5"/>
      <c r="V219" s="18"/>
      <c r="W219" s="19"/>
    </row>
    <row r="220" spans="2:23" ht="13">
      <c r="B220" s="19"/>
      <c r="C220" s="19"/>
      <c r="D220" s="19"/>
      <c r="F220" s="18"/>
      <c r="G220" s="19"/>
      <c r="H220" s="18"/>
      <c r="I220" s="19"/>
      <c r="J220" s="19"/>
      <c r="K220" s="18"/>
      <c r="M220" s="18"/>
      <c r="N220" s="19"/>
      <c r="O220" s="18"/>
      <c r="P220" s="19"/>
      <c r="Q220" s="19"/>
      <c r="R220" s="19"/>
      <c r="S220" s="18"/>
      <c r="T220" s="18"/>
      <c r="U220" s="5"/>
      <c r="V220" s="18"/>
      <c r="W220" s="19"/>
    </row>
    <row r="221" spans="2:23" ht="13">
      <c r="B221" s="18"/>
      <c r="C221" s="18"/>
      <c r="D221" s="18"/>
      <c r="E221" s="18"/>
      <c r="F221" s="18"/>
      <c r="G221" s="18"/>
      <c r="H221" s="18"/>
      <c r="I221" s="19"/>
      <c r="J221" s="19"/>
      <c r="K221" s="18"/>
      <c r="M221" s="18"/>
      <c r="N221" s="19"/>
      <c r="O221" s="18"/>
      <c r="P221" s="19"/>
      <c r="Q221" s="19"/>
      <c r="R221" s="19"/>
      <c r="S221" s="18"/>
      <c r="T221" s="18"/>
      <c r="U221" s="5"/>
      <c r="V221" s="18"/>
      <c r="W221" s="19"/>
    </row>
    <row r="222" spans="2:23" ht="13"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9"/>
      <c r="Q222" s="19"/>
      <c r="R222" s="19"/>
      <c r="S222" s="18"/>
      <c r="T222" s="18"/>
      <c r="U222" s="5"/>
      <c r="V222" s="18"/>
      <c r="W222" s="19"/>
    </row>
    <row r="223" spans="2:23" ht="13">
      <c r="B223" s="19"/>
      <c r="C223" s="19"/>
      <c r="D223" s="19"/>
      <c r="E223" s="18"/>
      <c r="F223" s="18"/>
      <c r="G223" s="18"/>
      <c r="H223" s="18"/>
      <c r="I223" s="19"/>
      <c r="J223" s="19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</row>
    <row r="224" spans="2:23" ht="13">
      <c r="B224" s="19"/>
      <c r="C224" s="19"/>
      <c r="D224" s="19"/>
      <c r="E224" s="18"/>
      <c r="F224" s="18"/>
      <c r="G224" s="18"/>
      <c r="H224" s="18"/>
      <c r="I224" s="19"/>
      <c r="J224" s="19"/>
      <c r="K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</row>
    <row r="225" spans="2:23" ht="13">
      <c r="B225" s="18"/>
      <c r="C225" s="18"/>
      <c r="D225" s="18"/>
      <c r="E225" s="18"/>
      <c r="F225" s="18"/>
      <c r="G225" s="18"/>
      <c r="H225" s="18"/>
      <c r="I225" s="19"/>
      <c r="J225" s="19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</row>
    <row r="227" spans="2:23" ht="13">
      <c r="B227" s="4"/>
      <c r="C227" s="4"/>
      <c r="D227" s="4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</row>
    <row r="228" spans="2:23" ht="13">
      <c r="B228" s="37"/>
      <c r="C228" s="38"/>
      <c r="D228" s="38"/>
      <c r="E228" s="18"/>
      <c r="F228" s="18"/>
      <c r="G228" s="18"/>
      <c r="H228" s="18"/>
      <c r="I228" s="37"/>
      <c r="J228" s="38"/>
      <c r="K228" s="38"/>
      <c r="L228" s="18"/>
      <c r="M228" s="18"/>
      <c r="N228" s="18"/>
      <c r="O228" s="18"/>
      <c r="P228" s="37"/>
      <c r="Q228" s="38"/>
      <c r="R228" s="38"/>
      <c r="S228" s="18"/>
      <c r="T228" s="18"/>
      <c r="U228" s="18"/>
      <c r="V228" s="18"/>
      <c r="W228" s="18"/>
    </row>
    <row r="229" spans="2:23" ht="13">
      <c r="B229" s="5"/>
      <c r="C229" s="4"/>
      <c r="D229" s="5"/>
      <c r="E229" s="5"/>
      <c r="F229" s="18"/>
      <c r="G229" s="19"/>
      <c r="H229" s="18"/>
      <c r="I229" s="5"/>
      <c r="J229" s="5"/>
      <c r="K229" s="18"/>
      <c r="L229" s="5"/>
      <c r="M229" s="18"/>
      <c r="N229" s="19"/>
      <c r="O229" s="18"/>
      <c r="P229" s="5"/>
      <c r="Q229" s="4"/>
      <c r="R229" s="5"/>
      <c r="S229" s="5"/>
      <c r="T229" s="18"/>
      <c r="U229" s="19"/>
      <c r="V229" s="4"/>
      <c r="W229" s="19"/>
    </row>
    <row r="230" spans="2:23" ht="13">
      <c r="B230" s="5"/>
      <c r="C230" s="4"/>
      <c r="D230" s="4"/>
      <c r="E230" s="4"/>
      <c r="F230" s="18"/>
      <c r="G230" s="19"/>
      <c r="H230" s="18"/>
      <c r="I230" s="5"/>
      <c r="J230" s="4"/>
      <c r="K230" s="18"/>
      <c r="L230" s="5"/>
      <c r="M230" s="18"/>
      <c r="N230" s="19"/>
      <c r="O230" s="18"/>
      <c r="P230" s="5"/>
      <c r="Q230" s="5"/>
      <c r="R230" s="5"/>
      <c r="S230" s="5"/>
      <c r="T230" s="18"/>
      <c r="U230" s="19"/>
      <c r="V230" s="4"/>
      <c r="W230" s="19"/>
    </row>
    <row r="231" spans="2:23" ht="13">
      <c r="B231" s="18"/>
      <c r="C231" s="18"/>
      <c r="D231" s="18"/>
      <c r="E231" s="18"/>
      <c r="F231" s="18"/>
      <c r="G231" s="18"/>
      <c r="H231" s="18"/>
      <c r="I231" s="5"/>
      <c r="J231" s="4"/>
      <c r="K231" s="18"/>
      <c r="L231" s="4"/>
      <c r="M231" s="18"/>
      <c r="N231" s="19"/>
      <c r="O231" s="18"/>
      <c r="P231" s="5"/>
      <c r="Q231" s="5"/>
      <c r="R231" s="5"/>
      <c r="S231" s="5"/>
      <c r="T231" s="18"/>
      <c r="U231" s="19"/>
      <c r="V231" s="4"/>
      <c r="W231" s="19"/>
    </row>
    <row r="232" spans="2:23" ht="13"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5"/>
      <c r="Q232" s="5"/>
      <c r="R232" s="5"/>
      <c r="S232" s="5"/>
      <c r="T232" s="18"/>
      <c r="U232" s="19"/>
      <c r="V232" s="4"/>
      <c r="W232" s="19"/>
    </row>
    <row r="233" spans="2:23" ht="13">
      <c r="B233" s="18"/>
      <c r="C233" s="18"/>
      <c r="D233" s="18"/>
      <c r="F233" s="18"/>
      <c r="G233" s="18"/>
      <c r="H233" s="18"/>
      <c r="I233" s="18"/>
      <c r="J233" s="18"/>
      <c r="K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</row>
    <row r="234" spans="2:23" ht="13">
      <c r="B234" s="19"/>
      <c r="C234" s="19"/>
      <c r="D234" s="19"/>
      <c r="F234" s="18"/>
      <c r="G234" s="19"/>
      <c r="H234" s="18"/>
      <c r="I234" s="19"/>
      <c r="J234" s="19"/>
      <c r="K234" s="18"/>
      <c r="M234" s="18"/>
      <c r="N234" s="19"/>
      <c r="O234" s="18"/>
      <c r="P234" s="19"/>
      <c r="Q234" s="19"/>
      <c r="R234" s="19"/>
      <c r="S234" s="18"/>
      <c r="T234" s="18"/>
      <c r="U234" s="5"/>
      <c r="V234" s="18"/>
      <c r="W234" s="19"/>
    </row>
    <row r="235" spans="2:23" ht="13">
      <c r="B235" s="19"/>
      <c r="C235" s="19"/>
      <c r="D235" s="19"/>
      <c r="F235" s="18"/>
      <c r="G235" s="19"/>
      <c r="H235" s="18"/>
      <c r="I235" s="19"/>
      <c r="J235" s="19"/>
      <c r="K235" s="18"/>
      <c r="M235" s="18"/>
      <c r="N235" s="19"/>
      <c r="O235" s="18"/>
      <c r="P235" s="19"/>
      <c r="Q235" s="19"/>
      <c r="R235" s="19"/>
      <c r="S235" s="18"/>
      <c r="T235" s="18"/>
      <c r="U235" s="5"/>
      <c r="V235" s="18"/>
      <c r="W235" s="19"/>
    </row>
    <row r="236" spans="2:23" ht="13">
      <c r="B236" s="18"/>
      <c r="C236" s="18"/>
      <c r="D236" s="18"/>
      <c r="E236" s="18"/>
      <c r="F236" s="18"/>
      <c r="G236" s="18"/>
      <c r="H236" s="18"/>
      <c r="I236" s="19"/>
      <c r="J236" s="19"/>
      <c r="K236" s="18"/>
      <c r="M236" s="18"/>
      <c r="N236" s="19"/>
      <c r="O236" s="18"/>
      <c r="P236" s="19"/>
      <c r="Q236" s="19"/>
      <c r="R236" s="19"/>
      <c r="S236" s="18"/>
      <c r="T236" s="18"/>
      <c r="U236" s="5"/>
      <c r="V236" s="18"/>
      <c r="W236" s="19"/>
    </row>
    <row r="237" spans="2:23" ht="13"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9"/>
      <c r="Q237" s="19"/>
      <c r="R237" s="19"/>
      <c r="S237" s="18"/>
      <c r="T237" s="18"/>
      <c r="U237" s="5"/>
      <c r="V237" s="18"/>
      <c r="W237" s="19"/>
    </row>
    <row r="238" spans="2:23" ht="13">
      <c r="B238" s="19"/>
      <c r="C238" s="19"/>
      <c r="D238" s="19"/>
      <c r="E238" s="18"/>
      <c r="F238" s="18"/>
      <c r="G238" s="18"/>
      <c r="H238" s="18"/>
      <c r="I238" s="19"/>
      <c r="J238" s="19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</row>
    <row r="239" spans="2:23" ht="13">
      <c r="B239" s="19"/>
      <c r="C239" s="19"/>
      <c r="D239" s="19"/>
      <c r="E239" s="18"/>
      <c r="F239" s="18"/>
      <c r="G239" s="18"/>
      <c r="H239" s="18"/>
      <c r="I239" s="19"/>
      <c r="J239" s="19"/>
      <c r="K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</row>
    <row r="240" spans="2:23" ht="13">
      <c r="B240" s="18"/>
      <c r="C240" s="18"/>
      <c r="D240" s="18"/>
      <c r="E240" s="18"/>
      <c r="F240" s="18"/>
      <c r="G240" s="18"/>
      <c r="H240" s="18"/>
      <c r="I240" s="19"/>
      <c r="J240" s="19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</row>
    <row r="242" spans="2:23" ht="13">
      <c r="B242" s="4"/>
      <c r="C242" s="4"/>
      <c r="D242" s="4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</row>
    <row r="243" spans="2:23" ht="13">
      <c r="B243" s="37"/>
      <c r="C243" s="38"/>
      <c r="D243" s="38"/>
      <c r="E243" s="18"/>
      <c r="F243" s="18"/>
      <c r="G243" s="18"/>
      <c r="H243" s="18"/>
      <c r="I243" s="37"/>
      <c r="J243" s="38"/>
      <c r="K243" s="38"/>
      <c r="L243" s="18"/>
      <c r="M243" s="18"/>
      <c r="N243" s="18"/>
      <c r="O243" s="18"/>
      <c r="P243" s="37"/>
      <c r="Q243" s="38"/>
      <c r="R243" s="38"/>
      <c r="S243" s="18"/>
      <c r="T243" s="18"/>
      <c r="U243" s="18"/>
      <c r="V243" s="18"/>
      <c r="W243" s="18"/>
    </row>
    <row r="244" spans="2:23" ht="13">
      <c r="B244" s="5"/>
      <c r="C244" s="4"/>
      <c r="D244" s="5"/>
      <c r="E244" s="5"/>
      <c r="F244" s="18"/>
      <c r="G244" s="19"/>
      <c r="H244" s="18"/>
      <c r="I244" s="5"/>
      <c r="J244" s="5"/>
      <c r="K244" s="18"/>
      <c r="L244" s="5"/>
      <c r="M244" s="18"/>
      <c r="N244" s="19"/>
      <c r="O244" s="18"/>
      <c r="P244" s="5"/>
      <c r="Q244" s="4"/>
      <c r="R244" s="5"/>
      <c r="S244" s="5"/>
      <c r="T244" s="18"/>
      <c r="U244" s="19"/>
      <c r="V244" s="4"/>
      <c r="W244" s="19"/>
    </row>
    <row r="245" spans="2:23" ht="13">
      <c r="B245" s="5"/>
      <c r="C245" s="4"/>
      <c r="D245" s="4"/>
      <c r="E245" s="4"/>
      <c r="F245" s="18"/>
      <c r="G245" s="19"/>
      <c r="H245" s="18"/>
      <c r="I245" s="5"/>
      <c r="J245" s="4"/>
      <c r="K245" s="18"/>
      <c r="L245" s="5"/>
      <c r="M245" s="18"/>
      <c r="N245" s="19"/>
      <c r="O245" s="18"/>
      <c r="P245" s="5"/>
      <c r="Q245" s="5"/>
      <c r="R245" s="5"/>
      <c r="S245" s="5"/>
      <c r="T245" s="18"/>
      <c r="U245" s="19"/>
      <c r="V245" s="4"/>
      <c r="W245" s="19"/>
    </row>
    <row r="246" spans="2:23" ht="13">
      <c r="B246" s="18"/>
      <c r="C246" s="18"/>
      <c r="D246" s="18"/>
      <c r="E246" s="18"/>
      <c r="F246" s="18"/>
      <c r="G246" s="18"/>
      <c r="H246" s="18"/>
      <c r="I246" s="5"/>
      <c r="J246" s="4"/>
      <c r="K246" s="18"/>
      <c r="L246" s="4"/>
      <c r="M246" s="18"/>
      <c r="N246" s="19"/>
      <c r="O246" s="18"/>
      <c r="P246" s="5"/>
      <c r="Q246" s="5"/>
      <c r="R246" s="5"/>
      <c r="S246" s="5"/>
      <c r="T246" s="18"/>
      <c r="U246" s="19"/>
      <c r="V246" s="4"/>
      <c r="W246" s="19"/>
    </row>
    <row r="247" spans="2:23" ht="13"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5"/>
      <c r="Q247" s="5"/>
      <c r="R247" s="5"/>
      <c r="S247" s="5"/>
      <c r="T247" s="18"/>
      <c r="U247" s="19"/>
      <c r="V247" s="4"/>
      <c r="W247" s="19"/>
    </row>
    <row r="248" spans="2:23" ht="13">
      <c r="B248" s="18"/>
      <c r="C248" s="18"/>
      <c r="D248" s="18"/>
      <c r="F248" s="18"/>
      <c r="G248" s="18"/>
      <c r="H248" s="18"/>
      <c r="I248" s="18"/>
      <c r="J248" s="18"/>
      <c r="K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</row>
    <row r="249" spans="2:23" ht="13">
      <c r="B249" s="19"/>
      <c r="C249" s="19"/>
      <c r="D249" s="19"/>
      <c r="F249" s="18"/>
      <c r="G249" s="19"/>
      <c r="H249" s="18"/>
      <c r="I249" s="19"/>
      <c r="J249" s="19"/>
      <c r="K249" s="18"/>
      <c r="M249" s="18"/>
      <c r="N249" s="19"/>
      <c r="O249" s="18"/>
      <c r="P249" s="19"/>
      <c r="Q249" s="19"/>
      <c r="R249" s="19"/>
      <c r="S249" s="18"/>
      <c r="T249" s="18"/>
      <c r="U249" s="5"/>
      <c r="V249" s="18"/>
      <c r="W249" s="19"/>
    </row>
    <row r="250" spans="2:23" ht="13">
      <c r="B250" s="19"/>
      <c r="C250" s="19"/>
      <c r="D250" s="19"/>
      <c r="F250" s="18"/>
      <c r="G250" s="19"/>
      <c r="H250" s="18"/>
      <c r="I250" s="19"/>
      <c r="J250" s="19"/>
      <c r="K250" s="18"/>
      <c r="M250" s="18"/>
      <c r="N250" s="19"/>
      <c r="O250" s="18"/>
      <c r="P250" s="19"/>
      <c r="Q250" s="19"/>
      <c r="R250" s="19"/>
      <c r="S250" s="18"/>
      <c r="T250" s="18"/>
      <c r="U250" s="5"/>
      <c r="V250" s="18"/>
      <c r="W250" s="19"/>
    </row>
    <row r="251" spans="2:23" ht="13">
      <c r="B251" s="18"/>
      <c r="C251" s="18"/>
      <c r="D251" s="18"/>
      <c r="E251" s="18"/>
      <c r="F251" s="18"/>
      <c r="G251" s="18"/>
      <c r="H251" s="18"/>
      <c r="I251" s="19"/>
      <c r="J251" s="19"/>
      <c r="K251" s="18"/>
      <c r="M251" s="18"/>
      <c r="N251" s="19"/>
      <c r="O251" s="18"/>
      <c r="P251" s="19"/>
      <c r="Q251" s="19"/>
      <c r="R251" s="19"/>
      <c r="S251" s="18"/>
      <c r="T251" s="18"/>
      <c r="U251" s="5"/>
      <c r="V251" s="18"/>
      <c r="W251" s="19"/>
    </row>
    <row r="252" spans="2:23" ht="13"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9"/>
      <c r="Q252" s="19"/>
      <c r="R252" s="19"/>
      <c r="S252" s="18"/>
      <c r="T252" s="18"/>
      <c r="U252" s="5"/>
      <c r="V252" s="18"/>
      <c r="W252" s="19"/>
    </row>
    <row r="253" spans="2:23" ht="13">
      <c r="B253" s="19"/>
      <c r="C253" s="19"/>
      <c r="D253" s="19"/>
      <c r="E253" s="18"/>
      <c r="F253" s="18"/>
      <c r="G253" s="18"/>
      <c r="H253" s="18"/>
      <c r="I253" s="19"/>
      <c r="J253" s="19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</row>
    <row r="254" spans="2:23" ht="13">
      <c r="B254" s="19"/>
      <c r="C254" s="19"/>
      <c r="D254" s="19"/>
      <c r="F254" s="18"/>
      <c r="G254" s="18"/>
      <c r="H254" s="18"/>
      <c r="I254" s="19"/>
      <c r="J254" s="19"/>
      <c r="K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</row>
    <row r="255" spans="2:23" ht="13">
      <c r="B255" s="18"/>
      <c r="C255" s="18"/>
      <c r="D255" s="18"/>
      <c r="E255" s="18"/>
      <c r="F255" s="18"/>
      <c r="G255" s="18"/>
      <c r="H255" s="18"/>
      <c r="I255" s="19"/>
      <c r="J255" s="19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</row>
    <row r="257" spans="2:23" ht="13">
      <c r="B257" s="4"/>
      <c r="C257" s="4"/>
      <c r="D257" s="4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</row>
    <row r="258" spans="2:23" ht="13">
      <c r="B258" s="37"/>
      <c r="C258" s="38"/>
      <c r="D258" s="38"/>
      <c r="E258" s="18"/>
      <c r="F258" s="18"/>
      <c r="G258" s="18"/>
      <c r="H258" s="18"/>
      <c r="I258" s="37"/>
      <c r="J258" s="38"/>
      <c r="K258" s="38"/>
      <c r="L258" s="18"/>
      <c r="M258" s="18"/>
      <c r="N258" s="18"/>
      <c r="O258" s="18"/>
      <c r="P258" s="37"/>
      <c r="Q258" s="38"/>
      <c r="R258" s="38"/>
      <c r="S258" s="18"/>
      <c r="T258" s="18"/>
      <c r="U258" s="18"/>
      <c r="V258" s="18"/>
      <c r="W258" s="18"/>
    </row>
    <row r="259" spans="2:23" ht="13">
      <c r="B259" s="5"/>
      <c r="C259" s="4"/>
      <c r="D259" s="4"/>
      <c r="E259" s="4"/>
      <c r="F259" s="18"/>
      <c r="G259" s="19"/>
      <c r="H259" s="18"/>
      <c r="I259" s="5"/>
      <c r="J259" s="5"/>
      <c r="K259" s="18"/>
      <c r="L259" s="5"/>
      <c r="M259" s="18"/>
      <c r="N259" s="19"/>
      <c r="O259" s="18"/>
      <c r="P259" s="5"/>
      <c r="Q259" s="4"/>
      <c r="R259" s="5"/>
      <c r="S259" s="5"/>
      <c r="T259" s="18"/>
      <c r="U259" s="19"/>
      <c r="V259" s="4"/>
      <c r="W259" s="19"/>
    </row>
    <row r="260" spans="2:23" ht="13">
      <c r="B260" s="5"/>
      <c r="C260" s="4"/>
      <c r="D260" s="4"/>
      <c r="E260" s="4"/>
      <c r="F260" s="18"/>
      <c r="G260" s="19"/>
      <c r="H260" s="18"/>
      <c r="I260" s="5"/>
      <c r="J260" s="4"/>
      <c r="K260" s="18"/>
      <c r="L260" s="5"/>
      <c r="M260" s="18"/>
      <c r="N260" s="19"/>
      <c r="O260" s="18"/>
      <c r="P260" s="5"/>
      <c r="Q260" s="5"/>
      <c r="R260" s="5"/>
      <c r="S260" s="5"/>
      <c r="T260" s="18"/>
      <c r="U260" s="19"/>
      <c r="V260" s="4"/>
      <c r="W260" s="19"/>
    </row>
    <row r="261" spans="2:23" ht="13">
      <c r="B261" s="18"/>
      <c r="C261" s="18"/>
      <c r="D261" s="18"/>
      <c r="E261" s="18"/>
      <c r="F261" s="18"/>
      <c r="G261" s="18"/>
      <c r="H261" s="18"/>
      <c r="I261" s="5"/>
      <c r="J261" s="4"/>
      <c r="K261" s="18"/>
      <c r="L261" s="4"/>
      <c r="M261" s="18"/>
      <c r="N261" s="19"/>
      <c r="O261" s="18"/>
      <c r="P261" s="5"/>
      <c r="Q261" s="5"/>
      <c r="R261" s="5"/>
      <c r="S261" s="5"/>
      <c r="T261" s="18"/>
      <c r="U261" s="19"/>
      <c r="V261" s="4"/>
      <c r="W261" s="19"/>
    </row>
    <row r="262" spans="2:23" ht="13"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5"/>
      <c r="Q262" s="5"/>
      <c r="R262" s="5"/>
      <c r="S262" s="5"/>
      <c r="T262" s="18"/>
      <c r="U262" s="19"/>
      <c r="V262" s="4"/>
      <c r="W262" s="19"/>
    </row>
    <row r="263" spans="2:23" ht="13">
      <c r="B263" s="18"/>
      <c r="C263" s="18"/>
      <c r="D263" s="18"/>
      <c r="F263" s="18"/>
      <c r="G263" s="18"/>
      <c r="H263" s="18"/>
      <c r="I263" s="18"/>
      <c r="J263" s="18"/>
      <c r="K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</row>
    <row r="264" spans="2:23" ht="13">
      <c r="B264" s="19"/>
      <c r="C264" s="19"/>
      <c r="D264" s="19"/>
      <c r="F264" s="18"/>
      <c r="G264" s="19"/>
      <c r="H264" s="18"/>
      <c r="I264" s="19"/>
      <c r="J264" s="19"/>
      <c r="K264" s="18"/>
      <c r="M264" s="18"/>
      <c r="N264" s="19"/>
      <c r="O264" s="18"/>
      <c r="P264" s="19"/>
      <c r="Q264" s="19"/>
      <c r="R264" s="19"/>
      <c r="S264" s="18"/>
      <c r="T264" s="18"/>
      <c r="U264" s="5"/>
      <c r="V264" s="18"/>
      <c r="W264" s="19"/>
    </row>
    <row r="265" spans="2:23" ht="13">
      <c r="B265" s="19"/>
      <c r="C265" s="19"/>
      <c r="D265" s="19"/>
      <c r="F265" s="18"/>
      <c r="G265" s="19"/>
      <c r="H265" s="18"/>
      <c r="I265" s="19"/>
      <c r="J265" s="19"/>
      <c r="K265" s="18"/>
      <c r="M265" s="18"/>
      <c r="N265" s="19"/>
      <c r="O265" s="18"/>
      <c r="P265" s="19"/>
      <c r="Q265" s="19"/>
      <c r="R265" s="19"/>
      <c r="S265" s="18"/>
      <c r="T265" s="18"/>
      <c r="U265" s="5"/>
      <c r="V265" s="18"/>
      <c r="W265" s="19"/>
    </row>
    <row r="266" spans="2:23" ht="13">
      <c r="B266" s="18"/>
      <c r="C266" s="18"/>
      <c r="D266" s="18"/>
      <c r="E266" s="18"/>
      <c r="F266" s="18"/>
      <c r="G266" s="18"/>
      <c r="H266" s="18"/>
      <c r="I266" s="19"/>
      <c r="J266" s="19"/>
      <c r="K266" s="18"/>
      <c r="M266" s="18"/>
      <c r="N266" s="19"/>
      <c r="O266" s="18"/>
      <c r="P266" s="19"/>
      <c r="Q266" s="19"/>
      <c r="R266" s="19"/>
      <c r="S266" s="18"/>
      <c r="T266" s="18"/>
      <c r="U266" s="5"/>
      <c r="V266" s="18"/>
      <c r="W266" s="19"/>
    </row>
    <row r="267" spans="2:23" ht="13"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9"/>
      <c r="Q267" s="19"/>
      <c r="R267" s="19"/>
      <c r="S267" s="18"/>
      <c r="T267" s="18"/>
      <c r="U267" s="5"/>
      <c r="V267" s="18"/>
      <c r="W267" s="19"/>
    </row>
    <row r="268" spans="2:23" ht="13">
      <c r="B268" s="19"/>
      <c r="C268" s="19"/>
      <c r="D268" s="19"/>
      <c r="E268" s="18"/>
      <c r="F268" s="18"/>
      <c r="G268" s="18"/>
      <c r="H268" s="18"/>
      <c r="I268" s="19"/>
      <c r="J268" s="19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</row>
    <row r="269" spans="2:23" ht="13">
      <c r="B269" s="19"/>
      <c r="C269" s="19"/>
      <c r="D269" s="19"/>
      <c r="F269" s="18"/>
      <c r="G269" s="18"/>
      <c r="H269" s="18"/>
      <c r="I269" s="19"/>
      <c r="J269" s="19"/>
      <c r="K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</row>
    <row r="270" spans="2:23" ht="13">
      <c r="B270" s="18"/>
      <c r="C270" s="18"/>
      <c r="D270" s="18"/>
      <c r="E270" s="18"/>
      <c r="F270" s="18"/>
      <c r="G270" s="18"/>
      <c r="H270" s="18"/>
      <c r="I270" s="19"/>
      <c r="J270" s="19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</row>
    <row r="272" spans="2:23" ht="13">
      <c r="B272" s="4"/>
      <c r="C272" s="4"/>
      <c r="D272" s="4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</row>
    <row r="273" spans="2:23" ht="13">
      <c r="B273" s="37"/>
      <c r="C273" s="38"/>
      <c r="D273" s="38"/>
      <c r="E273" s="18"/>
      <c r="F273" s="18"/>
      <c r="G273" s="18"/>
      <c r="H273" s="18"/>
      <c r="I273" s="37"/>
      <c r="J273" s="38"/>
      <c r="K273" s="38"/>
      <c r="L273" s="18"/>
      <c r="M273" s="18"/>
      <c r="N273" s="18"/>
      <c r="O273" s="18"/>
      <c r="P273" s="37"/>
      <c r="Q273" s="38"/>
      <c r="R273" s="38"/>
      <c r="S273" s="18"/>
      <c r="T273" s="18"/>
      <c r="U273" s="18"/>
      <c r="V273" s="18"/>
      <c r="W273" s="18"/>
    </row>
    <row r="274" spans="2:23" ht="13">
      <c r="B274" s="5"/>
      <c r="C274" s="4"/>
      <c r="D274" s="4"/>
      <c r="E274" s="4"/>
      <c r="F274" s="18"/>
      <c r="G274" s="19"/>
      <c r="H274" s="18"/>
      <c r="I274" s="5"/>
      <c r="J274" s="5"/>
      <c r="K274" s="18"/>
      <c r="L274" s="5"/>
      <c r="M274" s="18"/>
      <c r="N274" s="19"/>
      <c r="O274" s="18"/>
      <c r="P274" s="5"/>
      <c r="Q274" s="4"/>
      <c r="R274" s="5"/>
      <c r="S274" s="5"/>
      <c r="T274" s="18"/>
      <c r="U274" s="19"/>
      <c r="V274" s="4"/>
      <c r="W274" s="19"/>
    </row>
    <row r="275" spans="2:23" ht="13">
      <c r="B275" s="5"/>
      <c r="C275" s="4"/>
      <c r="D275" s="4"/>
      <c r="E275" s="4"/>
      <c r="F275" s="18"/>
      <c r="G275" s="19"/>
      <c r="H275" s="18"/>
      <c r="I275" s="5"/>
      <c r="J275" s="4"/>
      <c r="K275" s="18"/>
      <c r="L275" s="5"/>
      <c r="M275" s="18"/>
      <c r="N275" s="19"/>
      <c r="O275" s="18"/>
      <c r="P275" s="5"/>
      <c r="Q275" s="5"/>
      <c r="R275" s="5"/>
      <c r="S275" s="5"/>
      <c r="T275" s="18"/>
      <c r="U275" s="19"/>
      <c r="V275" s="4"/>
      <c r="W275" s="19"/>
    </row>
    <row r="276" spans="2:23" ht="13">
      <c r="B276" s="18"/>
      <c r="C276" s="18"/>
      <c r="D276" s="18"/>
      <c r="E276" s="18"/>
      <c r="F276" s="18"/>
      <c r="G276" s="18"/>
      <c r="H276" s="18"/>
      <c r="I276" s="5"/>
      <c r="J276" s="4"/>
      <c r="K276" s="18"/>
      <c r="L276" s="4"/>
      <c r="M276" s="18"/>
      <c r="N276" s="19"/>
      <c r="O276" s="18"/>
      <c r="P276" s="5"/>
      <c r="Q276" s="5"/>
      <c r="R276" s="5"/>
      <c r="S276" s="5"/>
      <c r="T276" s="18"/>
      <c r="U276" s="19"/>
      <c r="V276" s="4"/>
      <c r="W276" s="19"/>
    </row>
    <row r="277" spans="2:23" ht="13"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5"/>
      <c r="Q277" s="5"/>
      <c r="R277" s="5"/>
      <c r="S277" s="5"/>
      <c r="T277" s="18"/>
      <c r="U277" s="19"/>
      <c r="V277" s="4"/>
      <c r="W277" s="19"/>
    </row>
    <row r="278" spans="2:23" ht="13">
      <c r="B278" s="18"/>
      <c r="C278" s="18"/>
      <c r="D278" s="18"/>
      <c r="F278" s="18"/>
      <c r="G278" s="18"/>
      <c r="H278" s="18"/>
      <c r="I278" s="18"/>
      <c r="J278" s="18"/>
      <c r="K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</row>
    <row r="279" spans="2:23" ht="13">
      <c r="B279" s="19"/>
      <c r="C279" s="19"/>
      <c r="D279" s="19"/>
      <c r="F279" s="18"/>
      <c r="G279" s="19"/>
      <c r="H279" s="18"/>
      <c r="I279" s="19"/>
      <c r="J279" s="19"/>
      <c r="K279" s="18"/>
      <c r="M279" s="18"/>
      <c r="N279" s="19"/>
      <c r="O279" s="18"/>
      <c r="P279" s="19"/>
      <c r="Q279" s="19"/>
      <c r="R279" s="19"/>
      <c r="S279" s="18"/>
      <c r="T279" s="18"/>
      <c r="U279" s="5"/>
      <c r="V279" s="18"/>
      <c r="W279" s="19"/>
    </row>
    <row r="280" spans="2:23" ht="13">
      <c r="B280" s="19"/>
      <c r="C280" s="19"/>
      <c r="D280" s="19"/>
      <c r="F280" s="18"/>
      <c r="G280" s="19"/>
      <c r="H280" s="18"/>
      <c r="I280" s="19"/>
      <c r="J280" s="19"/>
      <c r="K280" s="18"/>
      <c r="M280" s="18"/>
      <c r="N280" s="19"/>
      <c r="O280" s="18"/>
      <c r="P280" s="19"/>
      <c r="Q280" s="19"/>
      <c r="R280" s="19"/>
      <c r="S280" s="18"/>
      <c r="T280" s="18"/>
      <c r="U280" s="5"/>
      <c r="V280" s="18"/>
      <c r="W280" s="19"/>
    </row>
    <row r="281" spans="2:23" ht="13">
      <c r="B281" s="18"/>
      <c r="C281" s="18"/>
      <c r="D281" s="18"/>
      <c r="E281" s="18"/>
      <c r="F281" s="18"/>
      <c r="G281" s="18"/>
      <c r="H281" s="18"/>
      <c r="I281" s="19"/>
      <c r="J281" s="19"/>
      <c r="K281" s="18"/>
      <c r="M281" s="18"/>
      <c r="N281" s="19"/>
      <c r="O281" s="18"/>
      <c r="P281" s="19"/>
      <c r="Q281" s="19"/>
      <c r="R281" s="19"/>
      <c r="S281" s="18"/>
      <c r="T281" s="18"/>
      <c r="U281" s="5"/>
      <c r="V281" s="18"/>
      <c r="W281" s="19"/>
    </row>
    <row r="282" spans="2:23" ht="13"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9"/>
      <c r="Q282" s="19"/>
      <c r="R282" s="19"/>
      <c r="S282" s="18"/>
      <c r="T282" s="18"/>
      <c r="U282" s="5"/>
      <c r="V282" s="18"/>
      <c r="W282" s="19"/>
    </row>
    <row r="283" spans="2:23" ht="13">
      <c r="B283" s="19"/>
      <c r="C283" s="19"/>
      <c r="D283" s="19"/>
      <c r="E283" s="18"/>
      <c r="F283" s="18"/>
      <c r="G283" s="18"/>
      <c r="H283" s="18"/>
      <c r="I283" s="19"/>
      <c r="J283" s="19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</row>
    <row r="284" spans="2:23" ht="13">
      <c r="B284" s="19"/>
      <c r="C284" s="19"/>
      <c r="D284" s="19"/>
      <c r="F284" s="18"/>
      <c r="G284" s="18"/>
      <c r="H284" s="18"/>
      <c r="I284" s="19"/>
      <c r="J284" s="19"/>
      <c r="K284" s="18"/>
      <c r="M284" s="18"/>
      <c r="N284" s="18"/>
      <c r="O284" s="18"/>
      <c r="P284" s="18"/>
      <c r="Q284" s="18"/>
      <c r="R284" s="18"/>
      <c r="S284" s="18"/>
      <c r="U284" s="18"/>
      <c r="V284" s="18"/>
      <c r="W284" s="18"/>
    </row>
    <row r="285" spans="2:23" ht="13">
      <c r="B285" s="18"/>
      <c r="C285" s="18"/>
      <c r="D285" s="18"/>
      <c r="E285" s="18"/>
      <c r="F285" s="18"/>
      <c r="G285" s="18"/>
      <c r="H285" s="18"/>
      <c r="I285" s="19"/>
      <c r="J285" s="19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</row>
    <row r="287" spans="2:23" ht="13">
      <c r="B287" s="4"/>
      <c r="C287" s="4"/>
      <c r="D287" s="4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</row>
    <row r="288" spans="2:23" ht="13">
      <c r="B288" s="37"/>
      <c r="C288" s="38"/>
      <c r="D288" s="38"/>
      <c r="E288" s="18"/>
      <c r="F288" s="18"/>
      <c r="G288" s="18"/>
      <c r="H288" s="18"/>
      <c r="I288" s="37"/>
      <c r="J288" s="38"/>
      <c r="K288" s="38"/>
      <c r="L288" s="18"/>
      <c r="M288" s="18"/>
      <c r="N288" s="18"/>
      <c r="O288" s="18"/>
      <c r="P288" s="37"/>
      <c r="Q288" s="38"/>
      <c r="R288" s="38"/>
      <c r="S288" s="18"/>
      <c r="T288" s="18"/>
      <c r="U288" s="18"/>
      <c r="V288" s="18"/>
      <c r="W288" s="18"/>
    </row>
    <row r="289" spans="2:23" ht="13">
      <c r="B289" s="5"/>
      <c r="C289" s="4"/>
      <c r="D289" s="4"/>
      <c r="E289" s="4"/>
      <c r="F289" s="18"/>
      <c r="G289" s="19"/>
      <c r="H289" s="18"/>
      <c r="I289" s="5"/>
      <c r="J289" s="5"/>
      <c r="K289" s="18"/>
      <c r="L289" s="5"/>
      <c r="M289" s="18"/>
      <c r="N289" s="19"/>
      <c r="O289" s="18"/>
      <c r="P289" s="5"/>
      <c r="Q289" s="4"/>
      <c r="R289" s="5"/>
      <c r="S289" s="5"/>
      <c r="T289" s="18"/>
      <c r="U289" s="19"/>
      <c r="V289" s="4"/>
      <c r="W289" s="19"/>
    </row>
    <row r="290" spans="2:23" ht="13">
      <c r="B290" s="5"/>
      <c r="C290" s="4"/>
      <c r="D290" s="4"/>
      <c r="E290" s="4"/>
      <c r="F290" s="18"/>
      <c r="G290" s="19"/>
      <c r="H290" s="18"/>
      <c r="I290" s="5"/>
      <c r="J290" s="4"/>
      <c r="K290" s="18"/>
      <c r="L290" s="5"/>
      <c r="M290" s="18"/>
      <c r="N290" s="19"/>
      <c r="O290" s="18"/>
      <c r="P290" s="5"/>
      <c r="Q290" s="5"/>
      <c r="R290" s="5"/>
      <c r="S290" s="5"/>
      <c r="T290" s="18"/>
      <c r="U290" s="19"/>
      <c r="V290" s="4"/>
      <c r="W290" s="19"/>
    </row>
    <row r="291" spans="2:23" ht="13">
      <c r="B291" s="18"/>
      <c r="C291" s="18"/>
      <c r="D291" s="18"/>
      <c r="E291" s="18"/>
      <c r="F291" s="18"/>
      <c r="G291" s="18"/>
      <c r="H291" s="18"/>
      <c r="I291" s="5"/>
      <c r="J291" s="4"/>
      <c r="K291" s="18"/>
      <c r="L291" s="4"/>
      <c r="M291" s="18"/>
      <c r="N291" s="19"/>
      <c r="O291" s="18"/>
      <c r="P291" s="5"/>
      <c r="Q291" s="5"/>
      <c r="R291" s="5"/>
      <c r="S291" s="5"/>
      <c r="T291" s="18"/>
      <c r="U291" s="19"/>
      <c r="V291" s="4"/>
      <c r="W291" s="19"/>
    </row>
    <row r="292" spans="2:23" ht="13"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5"/>
      <c r="Q292" s="5"/>
      <c r="R292" s="5"/>
      <c r="S292" s="5"/>
      <c r="T292" s="18"/>
      <c r="U292" s="19"/>
      <c r="V292" s="4"/>
      <c r="W292" s="19"/>
    </row>
    <row r="293" spans="2:23" ht="13">
      <c r="B293" s="18"/>
      <c r="C293" s="18"/>
      <c r="D293" s="18"/>
      <c r="F293" s="18"/>
      <c r="G293" s="18"/>
      <c r="H293" s="18"/>
      <c r="I293" s="18"/>
      <c r="J293" s="18"/>
      <c r="K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</row>
    <row r="294" spans="2:23" ht="13">
      <c r="B294" s="19"/>
      <c r="C294" s="19"/>
      <c r="D294" s="19"/>
      <c r="F294" s="18"/>
      <c r="G294" s="19"/>
      <c r="H294" s="18"/>
      <c r="I294" s="19"/>
      <c r="J294" s="19"/>
      <c r="K294" s="18"/>
      <c r="M294" s="18"/>
      <c r="N294" s="19"/>
      <c r="O294" s="18"/>
      <c r="P294" s="19"/>
      <c r="Q294" s="19"/>
      <c r="R294" s="19"/>
      <c r="S294" s="18"/>
      <c r="T294" s="18"/>
      <c r="U294" s="5"/>
      <c r="V294" s="18"/>
      <c r="W294" s="19"/>
    </row>
    <row r="295" spans="2:23" ht="13">
      <c r="B295" s="19"/>
      <c r="C295" s="19"/>
      <c r="D295" s="19"/>
      <c r="F295" s="18"/>
      <c r="G295" s="19"/>
      <c r="H295" s="18"/>
      <c r="I295" s="19"/>
      <c r="J295" s="19"/>
      <c r="K295" s="18"/>
      <c r="M295" s="18"/>
      <c r="N295" s="19"/>
      <c r="O295" s="18"/>
      <c r="P295" s="19"/>
      <c r="Q295" s="19"/>
      <c r="R295" s="19"/>
      <c r="S295" s="18"/>
      <c r="T295" s="18"/>
      <c r="U295" s="5"/>
      <c r="V295" s="18"/>
      <c r="W295" s="19"/>
    </row>
    <row r="296" spans="2:23" ht="13">
      <c r="B296" s="18"/>
      <c r="C296" s="18"/>
      <c r="D296" s="18"/>
      <c r="E296" s="18"/>
      <c r="F296" s="18"/>
      <c r="G296" s="18"/>
      <c r="H296" s="18"/>
      <c r="I296" s="19"/>
      <c r="J296" s="19"/>
      <c r="K296" s="18"/>
      <c r="M296" s="18"/>
      <c r="N296" s="19"/>
      <c r="O296" s="18"/>
      <c r="P296" s="19"/>
      <c r="Q296" s="19"/>
      <c r="R296" s="19"/>
      <c r="S296" s="18"/>
      <c r="T296" s="18"/>
      <c r="U296" s="5"/>
      <c r="V296" s="18"/>
      <c r="W296" s="19"/>
    </row>
    <row r="297" spans="2:23" ht="13"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9"/>
      <c r="Q297" s="19"/>
      <c r="R297" s="19"/>
      <c r="S297" s="18"/>
      <c r="T297" s="18"/>
      <c r="U297" s="5"/>
      <c r="V297" s="18"/>
      <c r="W297" s="19"/>
    </row>
    <row r="298" spans="2:23" ht="13">
      <c r="B298" s="19"/>
      <c r="C298" s="19"/>
      <c r="D298" s="19"/>
      <c r="E298" s="18"/>
      <c r="F298" s="18"/>
      <c r="G298" s="18"/>
      <c r="H298" s="18"/>
      <c r="I298" s="19"/>
      <c r="J298" s="19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</row>
    <row r="299" spans="2:23" ht="13">
      <c r="B299" s="19"/>
      <c r="C299" s="19"/>
      <c r="D299" s="19"/>
      <c r="F299" s="18"/>
      <c r="G299" s="18"/>
      <c r="H299" s="18"/>
      <c r="I299" s="19"/>
      <c r="J299" s="19"/>
      <c r="K299" s="18"/>
      <c r="M299" s="18"/>
      <c r="N299" s="18"/>
      <c r="O299" s="18"/>
      <c r="P299" s="18"/>
      <c r="Q299" s="18"/>
      <c r="R299" s="18"/>
      <c r="S299" s="18"/>
      <c r="U299" s="18"/>
      <c r="V299" s="18"/>
      <c r="W299" s="18"/>
    </row>
    <row r="300" spans="2:23" ht="13">
      <c r="B300" s="18"/>
      <c r="C300" s="18"/>
      <c r="D300" s="18"/>
      <c r="E300" s="18"/>
      <c r="F300" s="18"/>
      <c r="G300" s="18"/>
      <c r="H300" s="18"/>
      <c r="I300" s="19"/>
      <c r="J300" s="19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</row>
    <row r="302" spans="2:23" ht="13">
      <c r="B302" s="4"/>
      <c r="C302" s="4"/>
      <c r="D302" s="4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</row>
    <row r="303" spans="2:23" ht="13">
      <c r="B303" s="37"/>
      <c r="C303" s="38"/>
      <c r="D303" s="38"/>
      <c r="E303" s="18"/>
      <c r="F303" s="18"/>
      <c r="G303" s="18"/>
      <c r="H303" s="18"/>
      <c r="I303" s="37"/>
      <c r="J303" s="38"/>
      <c r="K303" s="38"/>
      <c r="L303" s="18"/>
      <c r="M303" s="18"/>
      <c r="N303" s="18"/>
      <c r="O303" s="18"/>
      <c r="P303" s="37"/>
      <c r="Q303" s="38"/>
      <c r="R303" s="38"/>
      <c r="S303" s="18"/>
      <c r="T303" s="18"/>
      <c r="U303" s="18"/>
      <c r="V303" s="18"/>
      <c r="W303" s="18"/>
    </row>
    <row r="304" spans="2:23" ht="13">
      <c r="B304" s="5"/>
      <c r="C304" s="4"/>
      <c r="D304" s="4"/>
      <c r="E304" s="4"/>
      <c r="F304" s="18"/>
      <c r="G304" s="19"/>
      <c r="H304" s="18"/>
      <c r="I304" s="5"/>
      <c r="J304" s="5"/>
      <c r="K304" s="18"/>
      <c r="L304" s="5"/>
      <c r="M304" s="18"/>
      <c r="N304" s="19"/>
      <c r="O304" s="18"/>
      <c r="P304" s="5"/>
      <c r="Q304" s="4"/>
      <c r="R304" s="5"/>
      <c r="S304" s="5"/>
      <c r="T304" s="18"/>
      <c r="U304" s="19"/>
      <c r="V304" s="4"/>
      <c r="W304" s="19"/>
    </row>
    <row r="305" spans="2:23" ht="13">
      <c r="B305" s="5"/>
      <c r="C305" s="4"/>
      <c r="D305" s="4"/>
      <c r="E305" s="4"/>
      <c r="F305" s="18"/>
      <c r="G305" s="19"/>
      <c r="H305" s="18"/>
      <c r="I305" s="5"/>
      <c r="J305" s="4"/>
      <c r="K305" s="18"/>
      <c r="L305" s="5"/>
      <c r="M305" s="18"/>
      <c r="N305" s="19"/>
      <c r="O305" s="18"/>
      <c r="P305" s="4"/>
      <c r="Q305" s="5"/>
      <c r="R305" s="5"/>
      <c r="S305" s="5"/>
      <c r="T305" s="18"/>
      <c r="U305" s="19"/>
      <c r="V305" s="4"/>
      <c r="W305" s="19"/>
    </row>
    <row r="306" spans="2:23" ht="13">
      <c r="B306" s="18"/>
      <c r="C306" s="18"/>
      <c r="D306" s="18"/>
      <c r="E306" s="18"/>
      <c r="F306" s="18"/>
      <c r="G306" s="18"/>
      <c r="H306" s="18"/>
      <c r="I306" s="5"/>
      <c r="J306" s="4"/>
      <c r="K306" s="18"/>
      <c r="L306" s="4"/>
      <c r="M306" s="18"/>
      <c r="N306" s="19"/>
      <c r="O306" s="18"/>
      <c r="P306" s="5"/>
      <c r="Q306" s="5"/>
      <c r="R306" s="5"/>
      <c r="S306" s="5"/>
      <c r="T306" s="18"/>
      <c r="U306" s="19"/>
      <c r="V306" s="4"/>
      <c r="W306" s="19"/>
    </row>
    <row r="307" spans="2:23" ht="13"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5"/>
      <c r="Q307" s="5"/>
      <c r="R307" s="5"/>
      <c r="S307" s="5"/>
      <c r="T307" s="18"/>
      <c r="U307" s="19"/>
      <c r="V307" s="4"/>
      <c r="W307" s="19"/>
    </row>
    <row r="308" spans="2:23" ht="13">
      <c r="B308" s="18"/>
      <c r="C308" s="18"/>
      <c r="D308" s="18"/>
      <c r="F308" s="18"/>
      <c r="G308" s="18"/>
      <c r="H308" s="18"/>
      <c r="I308" s="18"/>
      <c r="J308" s="18"/>
      <c r="K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</row>
    <row r="309" spans="2:23" ht="13">
      <c r="B309" s="19"/>
      <c r="C309" s="19"/>
      <c r="D309" s="19"/>
      <c r="F309" s="18"/>
      <c r="G309" s="19"/>
      <c r="H309" s="18"/>
      <c r="I309" s="19"/>
      <c r="J309" s="19"/>
      <c r="K309" s="18"/>
      <c r="M309" s="18"/>
      <c r="N309" s="19"/>
      <c r="O309" s="18"/>
      <c r="P309" s="19"/>
      <c r="Q309" s="19"/>
      <c r="R309" s="19"/>
      <c r="S309" s="18"/>
      <c r="T309" s="18"/>
      <c r="U309" s="5"/>
      <c r="V309" s="18"/>
      <c r="W309" s="19"/>
    </row>
    <row r="310" spans="2:23" ht="13">
      <c r="B310" s="19"/>
      <c r="C310" s="19"/>
      <c r="D310" s="19"/>
      <c r="F310" s="18"/>
      <c r="G310" s="19"/>
      <c r="H310" s="18"/>
      <c r="I310" s="19"/>
      <c r="J310" s="19"/>
      <c r="K310" s="18"/>
      <c r="M310" s="18"/>
      <c r="N310" s="19"/>
      <c r="O310" s="18"/>
      <c r="P310" s="19"/>
      <c r="Q310" s="19"/>
      <c r="R310" s="19"/>
      <c r="S310" s="18"/>
      <c r="T310" s="18"/>
      <c r="U310" s="5"/>
      <c r="V310" s="18"/>
      <c r="W310" s="19"/>
    </row>
    <row r="311" spans="2:23" ht="13">
      <c r="B311" s="18"/>
      <c r="C311" s="18"/>
      <c r="D311" s="18"/>
      <c r="E311" s="18"/>
      <c r="F311" s="18"/>
      <c r="G311" s="18"/>
      <c r="H311" s="18"/>
      <c r="I311" s="19"/>
      <c r="J311" s="19"/>
      <c r="K311" s="18"/>
      <c r="M311" s="18"/>
      <c r="N311" s="19"/>
      <c r="O311" s="18"/>
      <c r="P311" s="19"/>
      <c r="Q311" s="19"/>
      <c r="R311" s="19"/>
      <c r="S311" s="18"/>
      <c r="T311" s="18"/>
      <c r="U311" s="5"/>
      <c r="V311" s="18"/>
      <c r="W311" s="19"/>
    </row>
    <row r="312" spans="2:23" ht="13"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9"/>
      <c r="Q312" s="19"/>
      <c r="R312" s="19"/>
      <c r="S312" s="18"/>
      <c r="T312" s="18"/>
      <c r="U312" s="5"/>
      <c r="V312" s="18"/>
      <c r="W312" s="19"/>
    </row>
    <row r="313" spans="2:23" ht="13">
      <c r="B313" s="19"/>
      <c r="C313" s="19"/>
      <c r="D313" s="19"/>
      <c r="E313" s="18"/>
      <c r="F313" s="18"/>
      <c r="G313" s="18"/>
      <c r="H313" s="18"/>
      <c r="I313" s="19"/>
      <c r="J313" s="19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</row>
    <row r="314" spans="2:23" ht="13">
      <c r="B314" s="19"/>
      <c r="C314" s="19"/>
      <c r="D314" s="19"/>
      <c r="F314" s="18"/>
      <c r="G314" s="18"/>
      <c r="H314" s="18"/>
      <c r="I314" s="19"/>
      <c r="J314" s="19"/>
      <c r="K314" s="18"/>
      <c r="M314" s="18"/>
      <c r="N314" s="18"/>
      <c r="O314" s="18"/>
      <c r="P314" s="18"/>
      <c r="Q314" s="18"/>
      <c r="R314" s="18"/>
      <c r="S314" s="18"/>
      <c r="U314" s="18"/>
      <c r="V314" s="18"/>
      <c r="W314" s="18"/>
    </row>
    <row r="315" spans="2:23" ht="13">
      <c r="B315" s="18"/>
      <c r="C315" s="18"/>
      <c r="D315" s="18"/>
      <c r="E315" s="18"/>
      <c r="F315" s="18"/>
      <c r="G315" s="18"/>
      <c r="H315" s="18"/>
      <c r="I315" s="19"/>
      <c r="J315" s="19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</row>
  </sheetData>
  <mergeCells count="67">
    <mergeCell ref="P183:R183"/>
    <mergeCell ref="I183:K183"/>
    <mergeCell ref="P168:R168"/>
    <mergeCell ref="I168:K168"/>
    <mergeCell ref="B168:D168"/>
    <mergeCell ref="P123:R123"/>
    <mergeCell ref="P153:R153"/>
    <mergeCell ref="I153:K153"/>
    <mergeCell ref="P138:R138"/>
    <mergeCell ref="I138:K138"/>
    <mergeCell ref="B93:D93"/>
    <mergeCell ref="B123:D123"/>
    <mergeCell ref="B108:D108"/>
    <mergeCell ref="B138:D138"/>
    <mergeCell ref="B153:D153"/>
    <mergeCell ref="I288:K288"/>
    <mergeCell ref="B228:D228"/>
    <mergeCell ref="I228:K228"/>
    <mergeCell ref="I108:K108"/>
    <mergeCell ref="B258:D258"/>
    <mergeCell ref="B273:D273"/>
    <mergeCell ref="B198:D198"/>
    <mergeCell ref="I123:K123"/>
    <mergeCell ref="B183:D183"/>
    <mergeCell ref="B303:D303"/>
    <mergeCell ref="I303:K303"/>
    <mergeCell ref="B213:D213"/>
    <mergeCell ref="B243:D243"/>
    <mergeCell ref="P243:R243"/>
    <mergeCell ref="P213:R213"/>
    <mergeCell ref="I258:K258"/>
    <mergeCell ref="I243:K243"/>
    <mergeCell ref="P228:R228"/>
    <mergeCell ref="P288:R288"/>
    <mergeCell ref="P303:R303"/>
    <mergeCell ref="P273:R273"/>
    <mergeCell ref="P258:R258"/>
    <mergeCell ref="I213:K213"/>
    <mergeCell ref="B288:D288"/>
    <mergeCell ref="I273:K273"/>
    <mergeCell ref="D1:E1"/>
    <mergeCell ref="B19:C19"/>
    <mergeCell ref="B27:C27"/>
    <mergeCell ref="G51:H51"/>
    <mergeCell ref="P49:R49"/>
    <mergeCell ref="P37:R37"/>
    <mergeCell ref="B11:C11"/>
    <mergeCell ref="G11:H11"/>
    <mergeCell ref="P13:R13"/>
    <mergeCell ref="G19:H19"/>
    <mergeCell ref="G27:H27"/>
    <mergeCell ref="P198:R198"/>
    <mergeCell ref="G35:H35"/>
    <mergeCell ref="B35:C35"/>
    <mergeCell ref="B63:D63"/>
    <mergeCell ref="B43:C43"/>
    <mergeCell ref="P78:R78"/>
    <mergeCell ref="I63:K63"/>
    <mergeCell ref="B51:C51"/>
    <mergeCell ref="I78:K78"/>
    <mergeCell ref="G43:H43"/>
    <mergeCell ref="I198:K198"/>
    <mergeCell ref="P108:R108"/>
    <mergeCell ref="I93:K93"/>
    <mergeCell ref="P63:R63"/>
    <mergeCell ref="P93:R93"/>
    <mergeCell ref="B78:D7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J313"/>
  <sheetViews>
    <sheetView workbookViewId="0">
      <selection activeCell="B17" sqref="B17"/>
    </sheetView>
  </sheetViews>
  <sheetFormatPr baseColWidth="10" defaultColWidth="14.5" defaultRowHeight="15.75" customHeight="1"/>
  <cols>
    <col min="1" max="41" width="6.83203125" customWidth="1"/>
  </cols>
  <sheetData>
    <row r="1" spans="1:23" ht="15.75" customHeight="1">
      <c r="B1" s="1"/>
      <c r="C1" s="1" t="s">
        <v>4</v>
      </c>
      <c r="D1" s="39" t="s">
        <v>1</v>
      </c>
      <c r="E1" s="38"/>
      <c r="F1" s="38"/>
      <c r="H1" s="39" t="s">
        <v>2</v>
      </c>
      <c r="I1" s="38"/>
      <c r="J1" s="38"/>
      <c r="L1" s="1" t="s">
        <v>3</v>
      </c>
    </row>
    <row r="2" spans="1:23" ht="15.75" customHeight="1">
      <c r="B2" t="str">
        <f t="shared" ref="B2:B9" si="0">DEC2BIN(C2)</f>
        <v>0</v>
      </c>
      <c r="C2" s="1">
        <v>0</v>
      </c>
      <c r="D2" s="1">
        <v>0</v>
      </c>
      <c r="E2" s="1">
        <v>0</v>
      </c>
      <c r="F2" s="1">
        <v>0</v>
      </c>
      <c r="H2" s="4">
        <v>0</v>
      </c>
      <c r="I2" s="5">
        <v>0</v>
      </c>
      <c r="J2" s="1">
        <v>0</v>
      </c>
      <c r="L2" s="1" t="s">
        <v>6</v>
      </c>
      <c r="P2" s="1" t="s">
        <v>7</v>
      </c>
      <c r="Q2" s="1" t="s">
        <v>8</v>
      </c>
    </row>
    <row r="3" spans="1:23" ht="15.75" customHeight="1">
      <c r="B3" t="str">
        <f t="shared" si="0"/>
        <v>1</v>
      </c>
      <c r="C3" s="1">
        <f t="shared" ref="C3:C9" si="1">C2+1</f>
        <v>1</v>
      </c>
      <c r="D3" s="1">
        <v>0</v>
      </c>
      <c r="E3" s="1">
        <v>1</v>
      </c>
      <c r="F3" s="1">
        <v>0</v>
      </c>
      <c r="H3" s="5">
        <v>1</v>
      </c>
      <c r="I3" s="4">
        <v>1</v>
      </c>
      <c r="J3" s="1">
        <v>0</v>
      </c>
      <c r="L3" s="1" t="s">
        <v>10</v>
      </c>
      <c r="P3" s="1" t="s">
        <v>11</v>
      </c>
      <c r="Q3" s="1" t="s">
        <v>12</v>
      </c>
    </row>
    <row r="4" spans="1:23" ht="15.75" customHeight="1">
      <c r="B4" t="str">
        <f t="shared" si="0"/>
        <v>10</v>
      </c>
      <c r="C4" s="1">
        <f t="shared" si="1"/>
        <v>2</v>
      </c>
      <c r="D4" s="1">
        <v>1</v>
      </c>
      <c r="E4" s="1">
        <v>0</v>
      </c>
      <c r="F4" s="1">
        <v>0</v>
      </c>
      <c r="H4" s="5">
        <v>1</v>
      </c>
      <c r="I4" s="5">
        <v>1</v>
      </c>
      <c r="J4" s="1">
        <v>1</v>
      </c>
      <c r="L4" s="1" t="s">
        <v>14</v>
      </c>
      <c r="P4" s="1" t="s">
        <v>15</v>
      </c>
      <c r="Q4" s="1" t="s">
        <v>16</v>
      </c>
    </row>
    <row r="5" spans="1:23" ht="15.75" customHeight="1">
      <c r="B5" t="str">
        <f t="shared" si="0"/>
        <v>11</v>
      </c>
      <c r="C5" s="1">
        <f t="shared" si="1"/>
        <v>3</v>
      </c>
      <c r="D5" s="1">
        <v>1</v>
      </c>
      <c r="E5" s="1">
        <v>1</v>
      </c>
      <c r="F5" s="1">
        <v>0</v>
      </c>
      <c r="H5" s="1">
        <v>0</v>
      </c>
      <c r="I5" s="1">
        <v>1</v>
      </c>
      <c r="J5" s="1">
        <v>1</v>
      </c>
      <c r="L5" s="1" t="s">
        <v>18</v>
      </c>
    </row>
    <row r="6" spans="1:23" ht="15.75" customHeight="1">
      <c r="B6" t="str">
        <f t="shared" si="0"/>
        <v>100</v>
      </c>
      <c r="C6" s="1">
        <f t="shared" si="1"/>
        <v>4</v>
      </c>
      <c r="D6" s="1">
        <v>0</v>
      </c>
      <c r="E6" s="1">
        <v>0</v>
      </c>
      <c r="F6" s="1">
        <v>1</v>
      </c>
      <c r="H6" s="1">
        <v>0</v>
      </c>
      <c r="I6" s="1">
        <v>1</v>
      </c>
      <c r="J6" s="1">
        <v>0</v>
      </c>
      <c r="L6" s="1" t="s">
        <v>19</v>
      </c>
      <c r="W6" s="8"/>
    </row>
    <row r="7" spans="1:23" ht="15.75" customHeight="1">
      <c r="B7" t="str">
        <f t="shared" si="0"/>
        <v>101</v>
      </c>
      <c r="C7" s="1">
        <f t="shared" si="1"/>
        <v>5</v>
      </c>
      <c r="D7" s="1">
        <v>0</v>
      </c>
      <c r="E7" s="1">
        <v>1</v>
      </c>
      <c r="F7" s="1">
        <v>1</v>
      </c>
      <c r="H7" s="1">
        <v>1</v>
      </c>
      <c r="I7" s="1">
        <v>0</v>
      </c>
      <c r="J7" s="1">
        <v>0</v>
      </c>
      <c r="L7" s="1" t="s">
        <v>20</v>
      </c>
      <c r="W7" s="8"/>
    </row>
    <row r="8" spans="1:23" ht="15.75" customHeight="1">
      <c r="B8" t="str">
        <f t="shared" si="0"/>
        <v>110</v>
      </c>
      <c r="C8" s="1">
        <f t="shared" si="1"/>
        <v>6</v>
      </c>
      <c r="D8" s="1">
        <v>1</v>
      </c>
      <c r="E8" s="1">
        <v>0</v>
      </c>
      <c r="F8" s="1">
        <v>1</v>
      </c>
      <c r="H8" s="1">
        <v>0</v>
      </c>
      <c r="I8" s="1">
        <v>1</v>
      </c>
      <c r="J8" s="1">
        <v>0</v>
      </c>
      <c r="P8" s="1" t="s">
        <v>21</v>
      </c>
      <c r="W8" s="8"/>
    </row>
    <row r="9" spans="1:23" ht="15.75" customHeight="1">
      <c r="B9" t="str">
        <f t="shared" si="0"/>
        <v>111</v>
      </c>
      <c r="C9" s="1">
        <f t="shared" si="1"/>
        <v>7</v>
      </c>
      <c r="D9" s="1">
        <v>1</v>
      </c>
      <c r="E9" s="1">
        <v>1</v>
      </c>
      <c r="F9" s="1">
        <v>1</v>
      </c>
      <c r="H9" s="1">
        <v>0</v>
      </c>
      <c r="I9" s="1">
        <v>0</v>
      </c>
      <c r="J9" s="1">
        <v>1</v>
      </c>
      <c r="P9" s="1" t="s">
        <v>35</v>
      </c>
      <c r="Q9" s="1" t="s">
        <v>36</v>
      </c>
      <c r="R9" s="1" t="s">
        <v>22</v>
      </c>
      <c r="S9" s="1" t="s">
        <v>23</v>
      </c>
      <c r="T9" s="1" t="s">
        <v>24</v>
      </c>
      <c r="U9" s="1" t="s">
        <v>25</v>
      </c>
      <c r="W9" s="8"/>
    </row>
    <row r="10" spans="1:23" ht="15.75" customHeight="1">
      <c r="W10" s="8"/>
    </row>
    <row r="11" spans="1:23" ht="15.75" customHeight="1">
      <c r="A11" s="2" t="s">
        <v>26</v>
      </c>
      <c r="B11" s="39" t="s">
        <v>27</v>
      </c>
      <c r="C11" s="38"/>
      <c r="D11" s="38"/>
      <c r="E11" s="2" t="s">
        <v>28</v>
      </c>
      <c r="F11" s="2" t="s">
        <v>29</v>
      </c>
      <c r="G11" s="6"/>
      <c r="H11" s="39" t="s">
        <v>30</v>
      </c>
      <c r="I11" s="38"/>
      <c r="J11" s="38"/>
      <c r="K11" s="2" t="s">
        <v>31</v>
      </c>
      <c r="L11" s="2" t="s">
        <v>37</v>
      </c>
      <c r="N11" s="39" t="s">
        <v>38</v>
      </c>
      <c r="O11" s="38"/>
      <c r="P11" s="2" t="s">
        <v>39</v>
      </c>
      <c r="Q11" s="2" t="s">
        <v>32</v>
      </c>
      <c r="R11" s="2" t="s">
        <v>33</v>
      </c>
      <c r="S11" s="2" t="s">
        <v>34</v>
      </c>
      <c r="W11" s="8"/>
    </row>
    <row r="12" spans="1:23" ht="15.75" customHeight="1">
      <c r="A12" s="1">
        <f>$D$2</f>
        <v>0</v>
      </c>
      <c r="B12" s="1">
        <v>0</v>
      </c>
      <c r="C12" s="1">
        <v>0</v>
      </c>
      <c r="D12" s="1">
        <v>0</v>
      </c>
      <c r="E12" s="1">
        <v>3</v>
      </c>
      <c r="F12" t="b">
        <f t="shared" ref="F12:F14" si="2">COUNTIF(B17:D17, TRUE)&gt;=E12</f>
        <v>0</v>
      </c>
      <c r="H12" s="1">
        <v>0</v>
      </c>
      <c r="I12" s="1">
        <v>0</v>
      </c>
      <c r="J12" s="1">
        <v>0</v>
      </c>
      <c r="K12" s="1">
        <v>3</v>
      </c>
      <c r="L12" t="b">
        <f t="shared" ref="L12:L13" si="3">COUNTIF(H17:J17, TRUE)&gt;=K12</f>
        <v>0</v>
      </c>
      <c r="N12" s="1">
        <v>0</v>
      </c>
      <c r="O12" s="1">
        <v>0</v>
      </c>
      <c r="P12" s="1">
        <v>2</v>
      </c>
      <c r="Q12" t="b">
        <f t="shared" ref="Q12:Q14" si="4">COUNTIF(N17:O17, TRUE)&gt;=P12</f>
        <v>0</v>
      </c>
      <c r="R12">
        <f>$H$2</f>
        <v>0</v>
      </c>
      <c r="S12" t="b">
        <f>_xlfn.XOR(Q12,R12)</f>
        <v>0</v>
      </c>
      <c r="W12" s="8"/>
    </row>
    <row r="13" spans="1:23" ht="15.75" customHeight="1">
      <c r="A13" s="1">
        <f>$E$2</f>
        <v>0</v>
      </c>
      <c r="B13" s="1">
        <v>0</v>
      </c>
      <c r="C13" s="1">
        <v>0</v>
      </c>
      <c r="D13" s="1">
        <v>0</v>
      </c>
      <c r="E13" s="1">
        <v>3</v>
      </c>
      <c r="F13" t="b">
        <f t="shared" si="2"/>
        <v>0</v>
      </c>
      <c r="H13" s="1">
        <v>0</v>
      </c>
      <c r="I13" s="1">
        <v>0</v>
      </c>
      <c r="J13" s="1">
        <v>0</v>
      </c>
      <c r="K13" s="1">
        <v>3</v>
      </c>
      <c r="L13" t="b">
        <f t="shared" si="3"/>
        <v>0</v>
      </c>
      <c r="N13" s="1">
        <v>0</v>
      </c>
      <c r="O13" s="1">
        <v>0</v>
      </c>
      <c r="P13" s="1">
        <v>2</v>
      </c>
      <c r="Q13" t="b">
        <f t="shared" si="4"/>
        <v>0</v>
      </c>
      <c r="R13">
        <f>$I$2</f>
        <v>0</v>
      </c>
      <c r="S13" t="b">
        <f>_xlfn.XOR(Q13,R13)</f>
        <v>0</v>
      </c>
      <c r="W13" s="8"/>
    </row>
    <row r="14" spans="1:23" ht="15.75" customHeight="1">
      <c r="A14">
        <f>$F$2</f>
        <v>0</v>
      </c>
      <c r="B14" s="1">
        <v>0</v>
      </c>
      <c r="C14" s="1">
        <v>0</v>
      </c>
      <c r="D14" s="1">
        <v>0</v>
      </c>
      <c r="E14" s="1">
        <v>3</v>
      </c>
      <c r="F14" t="b">
        <f t="shared" si="2"/>
        <v>0</v>
      </c>
      <c r="N14" s="1">
        <v>0</v>
      </c>
      <c r="O14" s="1">
        <v>0</v>
      </c>
      <c r="P14" s="1">
        <v>2</v>
      </c>
      <c r="Q14" t="b">
        <f t="shared" si="4"/>
        <v>0</v>
      </c>
      <c r="R14">
        <f>$J$2</f>
        <v>0</v>
      </c>
      <c r="S14" t="b">
        <f>_xlfn.XOR(Q14,R14)</f>
        <v>0</v>
      </c>
      <c r="W14" s="8"/>
    </row>
    <row r="15" spans="1:23" ht="15.75" customHeight="1">
      <c r="W15" s="11"/>
    </row>
    <row r="16" spans="1:23" ht="15.75" customHeight="1">
      <c r="B16" s="1" t="s">
        <v>182</v>
      </c>
      <c r="H16" s="1" t="s">
        <v>183</v>
      </c>
      <c r="N16" s="1" t="s">
        <v>184</v>
      </c>
    </row>
    <row r="17" spans="1:20" ht="15.75" customHeight="1">
      <c r="B17" t="b">
        <f>_xlfn.XOR($A12,B12)</f>
        <v>0</v>
      </c>
      <c r="C17" t="b">
        <f>_xlfn.XOR($A13,C12)</f>
        <v>0</v>
      </c>
      <c r="D17" t="b">
        <f>_xlfn.XOR($A14,D12)</f>
        <v>0</v>
      </c>
      <c r="H17" t="b">
        <f>_xlfn.XOR($F$12,$H12)</f>
        <v>0</v>
      </c>
      <c r="I17" t="b">
        <f>_xlfn.XOR($F$13,$I12)</f>
        <v>0</v>
      </c>
      <c r="J17" t="b">
        <f>_xlfn.XOR($F$14,$J12)</f>
        <v>0</v>
      </c>
      <c r="N17" t="b">
        <f>_xlfn.XOR($L$12,$N12)</f>
        <v>0</v>
      </c>
      <c r="O17" t="b">
        <f>_xlfn.XOR($L$13,$O12)</f>
        <v>0</v>
      </c>
      <c r="T17" s="1" t="s">
        <v>61</v>
      </c>
    </row>
    <row r="18" spans="1:20" ht="15.75" customHeight="1">
      <c r="B18" t="b">
        <f>_xlfn.XOR($A12,B13)</f>
        <v>0</v>
      </c>
      <c r="C18" t="b">
        <f>_xlfn.XOR($A13,C13)</f>
        <v>0</v>
      </c>
      <c r="D18" t="b">
        <f>_xlfn.XOR($A14,D13)</f>
        <v>0</v>
      </c>
      <c r="H18" t="b">
        <f>_xlfn.XOR($F$12,$H13)</f>
        <v>0</v>
      </c>
      <c r="I18" t="b">
        <f>_xlfn.XOR($F$13,$I13)</f>
        <v>0</v>
      </c>
      <c r="J18" t="b">
        <f>_xlfn.XOR($F$14,$J13)</f>
        <v>0</v>
      </c>
      <c r="N18" t="b">
        <f>_xlfn.XOR($L$12,$N13)</f>
        <v>0</v>
      </c>
      <c r="O18" t="b">
        <f>_xlfn.XOR($L$13,$O13)</f>
        <v>0</v>
      </c>
    </row>
    <row r="19" spans="1:20" ht="15.75" customHeight="1">
      <c r="B19" t="b">
        <f>_xlfn.XOR($A12,B14)</f>
        <v>0</v>
      </c>
      <c r="C19" t="b">
        <f>_xlfn.XOR($A13,C14)</f>
        <v>0</v>
      </c>
      <c r="D19" t="b">
        <f>_xlfn.XOR($A14,D14)</f>
        <v>0</v>
      </c>
      <c r="N19" t="b">
        <f>_xlfn.XOR($L$12,$N14)</f>
        <v>0</v>
      </c>
      <c r="O19" t="b">
        <f>_xlfn.XOR($L$13,$O14)</f>
        <v>0</v>
      </c>
    </row>
    <row r="21" spans="1:20" ht="15.75" customHeight="1">
      <c r="A21" s="2" t="s">
        <v>42</v>
      </c>
      <c r="B21" s="39" t="s">
        <v>27</v>
      </c>
      <c r="C21" s="38"/>
      <c r="D21" s="38"/>
      <c r="E21" s="2" t="s">
        <v>28</v>
      </c>
      <c r="F21" s="2" t="s">
        <v>29</v>
      </c>
      <c r="G21" s="6"/>
      <c r="H21" s="39" t="s">
        <v>30</v>
      </c>
      <c r="I21" s="38"/>
      <c r="J21" s="38"/>
      <c r="K21" s="2" t="s">
        <v>31</v>
      </c>
      <c r="L21" s="2" t="s">
        <v>37</v>
      </c>
      <c r="N21" s="39" t="s">
        <v>38</v>
      </c>
      <c r="O21" s="38"/>
      <c r="P21" s="2" t="s">
        <v>39</v>
      </c>
      <c r="Q21" s="2" t="s">
        <v>32</v>
      </c>
      <c r="R21" s="2" t="s">
        <v>43</v>
      </c>
      <c r="S21" s="2" t="s">
        <v>34</v>
      </c>
    </row>
    <row r="22" spans="1:20" ht="15.75" customHeight="1">
      <c r="A22" s="1">
        <f>$D$3</f>
        <v>0</v>
      </c>
      <c r="B22" s="1">
        <v>0</v>
      </c>
      <c r="C22" s="1">
        <v>0</v>
      </c>
      <c r="D22" s="1">
        <v>0</v>
      </c>
      <c r="E22" s="1">
        <v>3</v>
      </c>
      <c r="F22" t="b">
        <f t="shared" ref="F22:F24" si="5">COUNTIF(B27:D27, TRUE)&gt;=E22</f>
        <v>0</v>
      </c>
      <c r="H22" s="1">
        <v>0</v>
      </c>
      <c r="I22" s="1">
        <v>0</v>
      </c>
      <c r="J22" s="1">
        <v>0</v>
      </c>
      <c r="K22" s="1">
        <v>3</v>
      </c>
      <c r="L22" t="b">
        <f t="shared" ref="L22:L23" si="6">COUNTIF(H27:J27, TRUE)&gt;=K22</f>
        <v>0</v>
      </c>
      <c r="N22" s="1">
        <v>0</v>
      </c>
      <c r="O22" s="1">
        <v>0</v>
      </c>
      <c r="P22" s="1">
        <v>2</v>
      </c>
      <c r="Q22" t="b">
        <f t="shared" ref="Q22:Q24" si="7">COUNTIF(N27:O27, TRUE)&gt;=P22</f>
        <v>0</v>
      </c>
      <c r="R22">
        <f>$H$3</f>
        <v>1</v>
      </c>
      <c r="S22" t="b">
        <f>_xlfn.XOR(Q22,R22)</f>
        <v>1</v>
      </c>
    </row>
    <row r="23" spans="1:20" ht="15.75" customHeight="1">
      <c r="A23" s="1">
        <f>$E$3</f>
        <v>1</v>
      </c>
      <c r="B23" s="1">
        <v>0</v>
      </c>
      <c r="C23" s="1">
        <v>0</v>
      </c>
      <c r="D23" s="1">
        <v>0</v>
      </c>
      <c r="E23" s="1">
        <v>3</v>
      </c>
      <c r="F23" t="b">
        <f t="shared" si="5"/>
        <v>0</v>
      </c>
      <c r="H23" s="1">
        <v>0</v>
      </c>
      <c r="I23" s="1">
        <v>0</v>
      </c>
      <c r="J23" s="1">
        <v>0</v>
      </c>
      <c r="K23" s="1">
        <v>3</v>
      </c>
      <c r="L23" t="b">
        <f t="shared" si="6"/>
        <v>0</v>
      </c>
      <c r="N23" s="1">
        <v>0</v>
      </c>
      <c r="O23" s="1">
        <v>0</v>
      </c>
      <c r="P23" s="1">
        <v>2</v>
      </c>
      <c r="Q23" t="b">
        <f t="shared" si="7"/>
        <v>0</v>
      </c>
      <c r="R23">
        <f>$I$3</f>
        <v>1</v>
      </c>
      <c r="S23" t="b">
        <f>_xlfn.XOR(Q23,R23)</f>
        <v>1</v>
      </c>
    </row>
    <row r="24" spans="1:20" ht="15.75" customHeight="1">
      <c r="A24">
        <f>$F$3</f>
        <v>0</v>
      </c>
      <c r="B24" s="1">
        <v>0</v>
      </c>
      <c r="C24" s="1">
        <v>0</v>
      </c>
      <c r="D24" s="1">
        <v>0</v>
      </c>
      <c r="E24" s="1">
        <v>3</v>
      </c>
      <c r="F24" t="b">
        <f t="shared" si="5"/>
        <v>0</v>
      </c>
      <c r="N24" s="1">
        <v>0</v>
      </c>
      <c r="O24" s="1">
        <v>0</v>
      </c>
      <c r="P24" s="1">
        <v>2</v>
      </c>
      <c r="Q24" t="b">
        <f t="shared" si="7"/>
        <v>0</v>
      </c>
      <c r="R24">
        <f>$J$3</f>
        <v>0</v>
      </c>
      <c r="S24" t="b">
        <f>_xlfn.XOR(Q24,R24)</f>
        <v>0</v>
      </c>
    </row>
    <row r="26" spans="1:20" ht="15.75" customHeight="1">
      <c r="B26" s="1" t="s">
        <v>182</v>
      </c>
      <c r="H26" s="1" t="s">
        <v>183</v>
      </c>
      <c r="N26" s="1" t="s">
        <v>184</v>
      </c>
      <c r="Q26" s="1" t="s">
        <v>70</v>
      </c>
    </row>
    <row r="27" spans="1:20" ht="15.75" customHeight="1">
      <c r="B27" t="b">
        <f>_xlfn.XOR($A22,B22)</f>
        <v>0</v>
      </c>
      <c r="C27" t="b">
        <f>_xlfn.XOR($A23,C22)</f>
        <v>1</v>
      </c>
      <c r="D27" t="b">
        <f>_xlfn.XOR($A24,D22)</f>
        <v>0</v>
      </c>
      <c r="H27" t="b">
        <f>_xlfn.XOR($F22,$H22)</f>
        <v>0</v>
      </c>
      <c r="I27" t="b">
        <f>_xlfn.XOR($F23,$I22)</f>
        <v>0</v>
      </c>
      <c r="J27" t="b">
        <f>_xlfn.XOR($F24,$J22)</f>
        <v>0</v>
      </c>
      <c r="N27" t="b">
        <f>_xlfn.XOR($L22,$N22)</f>
        <v>0</v>
      </c>
      <c r="O27" t="b">
        <f>_xlfn.XOR($L23,$O22)</f>
        <v>0</v>
      </c>
      <c r="Q27" t="b">
        <f t="shared" ref="Q27:R29" si="8">AND($S22,(_xlfn.XOR(N27,NOT($Q22))))</f>
        <v>1</v>
      </c>
      <c r="R27" t="b">
        <f t="shared" si="8"/>
        <v>1</v>
      </c>
      <c r="T27" s="1" t="s">
        <v>74</v>
      </c>
    </row>
    <row r="28" spans="1:20" ht="15.75" customHeight="1">
      <c r="B28" t="b">
        <f>_xlfn.XOR($A22,B23)</f>
        <v>0</v>
      </c>
      <c r="C28" t="b">
        <f>_xlfn.XOR($A23,C23)</f>
        <v>1</v>
      </c>
      <c r="D28" t="b">
        <f>_xlfn.XOR($A24,D23)</f>
        <v>0</v>
      </c>
      <c r="H28" t="b">
        <f>_xlfn.XOR($F22,$H23)</f>
        <v>0</v>
      </c>
      <c r="I28" t="b">
        <f>_xlfn.XOR($F$23,$I23)</f>
        <v>0</v>
      </c>
      <c r="J28" t="b">
        <f>_xlfn.XOR($F24,$J23)</f>
        <v>0</v>
      </c>
      <c r="N28" t="b">
        <f>_xlfn.XOR($L22,$N23)</f>
        <v>0</v>
      </c>
      <c r="O28" t="b">
        <f>_xlfn.XOR($L23,$O23)</f>
        <v>0</v>
      </c>
      <c r="Q28" t="b">
        <f t="shared" si="8"/>
        <v>1</v>
      </c>
      <c r="R28" t="b">
        <f t="shared" si="8"/>
        <v>1</v>
      </c>
    </row>
    <row r="29" spans="1:20" ht="15.75" customHeight="1">
      <c r="B29" t="b">
        <f>_xlfn.XOR($A22,B24)</f>
        <v>0</v>
      </c>
      <c r="C29" t="b">
        <f>_xlfn.XOR($A23,C24)</f>
        <v>1</v>
      </c>
      <c r="D29" t="b">
        <f>_xlfn.XOR($A24,D24)</f>
        <v>0</v>
      </c>
      <c r="N29" t="b">
        <f>_xlfn.XOR($L22,$N24)</f>
        <v>0</v>
      </c>
      <c r="O29" t="b">
        <f>_xlfn.XOR($L23,$O24)</f>
        <v>0</v>
      </c>
      <c r="Q29" t="b">
        <f t="shared" si="8"/>
        <v>0</v>
      </c>
      <c r="R29" t="b">
        <f t="shared" si="8"/>
        <v>0</v>
      </c>
    </row>
    <row r="31" spans="1:20" ht="15.75" customHeight="1">
      <c r="A31" s="2" t="s">
        <v>64</v>
      </c>
      <c r="B31" s="39" t="s">
        <v>27</v>
      </c>
      <c r="C31" s="38"/>
      <c r="D31" s="38"/>
      <c r="E31" s="2" t="s">
        <v>28</v>
      </c>
      <c r="F31" s="2" t="s">
        <v>29</v>
      </c>
      <c r="G31" s="6"/>
      <c r="H31" s="39" t="s">
        <v>30</v>
      </c>
      <c r="I31" s="38"/>
      <c r="J31" s="38"/>
      <c r="K31" s="2" t="s">
        <v>31</v>
      </c>
      <c r="L31" s="2" t="s">
        <v>37</v>
      </c>
      <c r="N31" s="39" t="s">
        <v>38</v>
      </c>
      <c r="O31" s="38"/>
      <c r="P31" s="2" t="s">
        <v>39</v>
      </c>
      <c r="Q31" s="2" t="s">
        <v>32</v>
      </c>
      <c r="R31" s="2" t="s">
        <v>65</v>
      </c>
      <c r="S31" s="2" t="s">
        <v>34</v>
      </c>
    </row>
    <row r="32" spans="1:20" ht="15.75" customHeight="1">
      <c r="A32" s="1">
        <f>$D$4</f>
        <v>1</v>
      </c>
      <c r="B32" s="1">
        <v>0</v>
      </c>
      <c r="C32" s="1">
        <v>0</v>
      </c>
      <c r="D32" s="1">
        <v>0</v>
      </c>
      <c r="E32" s="1">
        <v>3</v>
      </c>
      <c r="F32" t="b">
        <f t="shared" ref="F32:F34" si="9">COUNTIF(B37:D37, TRUE)&gt;=E32</f>
        <v>0</v>
      </c>
      <c r="H32" s="1">
        <v>0</v>
      </c>
      <c r="I32" s="1">
        <v>0</v>
      </c>
      <c r="J32" s="1">
        <v>0</v>
      </c>
      <c r="K32" s="1">
        <v>3</v>
      </c>
      <c r="L32" t="b">
        <f t="shared" ref="L32:L33" si="10">COUNTIF(H37:J37, TRUE)&gt;=K32</f>
        <v>0</v>
      </c>
      <c r="N32" s="16" t="b">
        <f t="shared" ref="N32:N34" si="11">IF(Q27,NOT(N22),N22)</f>
        <v>1</v>
      </c>
      <c r="O32" s="1">
        <v>0</v>
      </c>
      <c r="P32" s="1">
        <v>2</v>
      </c>
      <c r="Q32" t="b">
        <f t="shared" ref="Q32:Q34" si="12">COUNTIF(N37:O37, TRUE)&gt;=P32</f>
        <v>0</v>
      </c>
      <c r="R32">
        <f>$H$4</f>
        <v>1</v>
      </c>
      <c r="S32" t="b">
        <f>_xlfn.XOR(Q32,R32)</f>
        <v>1</v>
      </c>
    </row>
    <row r="33" spans="1:20" ht="15.75" customHeight="1">
      <c r="A33" s="1">
        <f>$E$4</f>
        <v>0</v>
      </c>
      <c r="B33" s="1">
        <v>0</v>
      </c>
      <c r="C33" s="1">
        <v>0</v>
      </c>
      <c r="D33" s="1">
        <v>0</v>
      </c>
      <c r="E33" s="1">
        <v>3</v>
      </c>
      <c r="F33" t="b">
        <f t="shared" si="9"/>
        <v>0</v>
      </c>
      <c r="H33" s="1">
        <v>0</v>
      </c>
      <c r="I33" s="1">
        <v>0</v>
      </c>
      <c r="J33" s="1">
        <v>0</v>
      </c>
      <c r="K33" s="1">
        <v>3</v>
      </c>
      <c r="L33" t="b">
        <f t="shared" si="10"/>
        <v>0</v>
      </c>
      <c r="N33" s="16" t="b">
        <f t="shared" si="11"/>
        <v>1</v>
      </c>
      <c r="O33" s="1">
        <v>0</v>
      </c>
      <c r="P33" s="1">
        <v>2</v>
      </c>
      <c r="Q33" t="b">
        <f t="shared" si="12"/>
        <v>0</v>
      </c>
      <c r="R33">
        <f>$I$4</f>
        <v>1</v>
      </c>
      <c r="S33" t="b">
        <f>_xlfn.XOR(Q33,R33)</f>
        <v>1</v>
      </c>
    </row>
    <row r="34" spans="1:20" ht="15.75" customHeight="1">
      <c r="A34">
        <f>$F$4</f>
        <v>0</v>
      </c>
      <c r="B34" s="1">
        <v>0</v>
      </c>
      <c r="C34" s="1">
        <v>0</v>
      </c>
      <c r="D34" s="1">
        <v>0</v>
      </c>
      <c r="E34" s="1">
        <v>3</v>
      </c>
      <c r="F34" t="b">
        <f t="shared" si="9"/>
        <v>0</v>
      </c>
      <c r="N34" s="16">
        <f t="shared" si="11"/>
        <v>0</v>
      </c>
      <c r="O34" s="1">
        <v>0</v>
      </c>
      <c r="P34" s="1">
        <v>2</v>
      </c>
      <c r="Q34" t="b">
        <f t="shared" si="12"/>
        <v>0</v>
      </c>
      <c r="R34">
        <f>$J$4</f>
        <v>1</v>
      </c>
      <c r="S34" t="b">
        <f>_xlfn.XOR(Q34,R34)</f>
        <v>1</v>
      </c>
    </row>
    <row r="36" spans="1:20" ht="15.75" customHeight="1">
      <c r="B36" s="1" t="s">
        <v>182</v>
      </c>
      <c r="H36" s="1" t="s">
        <v>183</v>
      </c>
      <c r="K36" s="1" t="s">
        <v>76</v>
      </c>
      <c r="L36" s="1" t="s">
        <v>44</v>
      </c>
      <c r="N36" s="1" t="s">
        <v>184</v>
      </c>
      <c r="Q36" s="1" t="s">
        <v>70</v>
      </c>
    </row>
    <row r="37" spans="1:20" ht="15.75" customHeight="1">
      <c r="B37" t="b">
        <f>_xlfn.XOR($A32,B32)</f>
        <v>1</v>
      </c>
      <c r="C37" t="b">
        <f>_xlfn.XOR($A33,C32)</f>
        <v>0</v>
      </c>
      <c r="D37" t="b">
        <f>_xlfn.XOR($A34,D32)</f>
        <v>0</v>
      </c>
      <c r="H37" t="b">
        <f>_xlfn.XOR($F32,$H32)</f>
        <v>0</v>
      </c>
      <c r="I37" t="b">
        <f>_xlfn.XOR($F33,$I32)</f>
        <v>0</v>
      </c>
      <c r="J37" t="b">
        <f>_xlfn.XOR($F34,$J32)</f>
        <v>0</v>
      </c>
      <c r="K37">
        <f t="shared" ref="K37:K38" si="13">IF(L37,IF(L32,1,-1),0)</f>
        <v>-1</v>
      </c>
      <c r="L37" t="b">
        <f>OR(Q37:Q39)</f>
        <v>1</v>
      </c>
      <c r="N37" t="b">
        <f>_xlfn.XOR($L32,$N32)</f>
        <v>1</v>
      </c>
      <c r="O37" t="b">
        <f>_xlfn.XOR($L33,$O32)</f>
        <v>0</v>
      </c>
      <c r="Q37" t="b">
        <f t="shared" ref="Q37:R39" si="14">AND($S32,(_xlfn.XOR(N37,NOT($Q32))))</f>
        <v>0</v>
      </c>
      <c r="R37" t="b">
        <f t="shared" si="14"/>
        <v>1</v>
      </c>
      <c r="T37" s="1" t="s">
        <v>77</v>
      </c>
    </row>
    <row r="38" spans="1:20" ht="15.75" customHeight="1">
      <c r="B38" t="b">
        <f>_xlfn.XOR($A32,B33)</f>
        <v>1</v>
      </c>
      <c r="C38" t="b">
        <f>_xlfn.XOR($A33,C33)</f>
        <v>0</v>
      </c>
      <c r="D38" t="b">
        <f>_xlfn.XOR($A34,D33)</f>
        <v>0</v>
      </c>
      <c r="H38" t="b">
        <f>_xlfn.XOR($F32,$H33)</f>
        <v>0</v>
      </c>
      <c r="I38" t="b">
        <f>_xlfn.XOR($F33,$I33)</f>
        <v>0</v>
      </c>
      <c r="J38" t="b">
        <f>_xlfn.XOR($F34,$J33)</f>
        <v>0</v>
      </c>
      <c r="K38">
        <f t="shared" si="13"/>
        <v>-1</v>
      </c>
      <c r="L38" t="b">
        <f>OR(R37:R39)</f>
        <v>1</v>
      </c>
      <c r="N38" t="b">
        <f>_xlfn.XOR($L32,$N33)</f>
        <v>1</v>
      </c>
      <c r="O38" t="b">
        <f>_xlfn.XOR($L33,$O33)</f>
        <v>0</v>
      </c>
      <c r="Q38" t="b">
        <f t="shared" si="14"/>
        <v>0</v>
      </c>
      <c r="R38" t="b">
        <f t="shared" si="14"/>
        <v>1</v>
      </c>
    </row>
    <row r="39" spans="1:20" ht="15.75" customHeight="1">
      <c r="B39" t="b">
        <f>_xlfn.XOR($A32,B34)</f>
        <v>1</v>
      </c>
      <c r="C39" t="b">
        <f>_xlfn.XOR($A33,C34)</f>
        <v>0</v>
      </c>
      <c r="D39" t="b">
        <f>_xlfn.XOR($A34,D34)</f>
        <v>0</v>
      </c>
      <c r="N39" t="b">
        <f>_xlfn.XOR($L32,$N34)</f>
        <v>0</v>
      </c>
      <c r="O39" t="b">
        <f>_xlfn.XOR($L33,$O34)</f>
        <v>0</v>
      </c>
      <c r="Q39" t="b">
        <f t="shared" si="14"/>
        <v>1</v>
      </c>
      <c r="R39" t="b">
        <f t="shared" si="14"/>
        <v>1</v>
      </c>
    </row>
    <row r="41" spans="1:20" ht="15.75" customHeight="1">
      <c r="A41" s="2" t="s">
        <v>72</v>
      </c>
      <c r="B41" s="39" t="s">
        <v>27</v>
      </c>
      <c r="C41" s="38"/>
      <c r="D41" s="38"/>
      <c r="E41" s="2" t="s">
        <v>28</v>
      </c>
      <c r="F41" s="2" t="s">
        <v>29</v>
      </c>
      <c r="G41" s="6"/>
      <c r="H41" s="39" t="s">
        <v>30</v>
      </c>
      <c r="I41" s="38"/>
      <c r="J41" s="38"/>
      <c r="K41" s="2" t="s">
        <v>31</v>
      </c>
      <c r="L41" s="2" t="s">
        <v>37</v>
      </c>
      <c r="N41" s="39" t="s">
        <v>38</v>
      </c>
      <c r="O41" s="38"/>
      <c r="P41" s="2" t="s">
        <v>39</v>
      </c>
      <c r="Q41" s="2" t="s">
        <v>32</v>
      </c>
      <c r="R41" s="2" t="s">
        <v>73</v>
      </c>
      <c r="S41" s="2" t="s">
        <v>34</v>
      </c>
    </row>
    <row r="42" spans="1:20" ht="15.75" customHeight="1">
      <c r="A42" s="1">
        <f>$D$5</f>
        <v>1</v>
      </c>
      <c r="B42" s="1">
        <v>0</v>
      </c>
      <c r="C42" s="1">
        <v>0</v>
      </c>
      <c r="D42" s="1">
        <v>0</v>
      </c>
      <c r="E42" s="1">
        <v>3</v>
      </c>
      <c r="F42" t="b">
        <f t="shared" ref="F42:F44" si="15">COUNTIF(B47:D47, TRUE)&gt;=E42</f>
        <v>0</v>
      </c>
      <c r="H42" s="1">
        <v>0</v>
      </c>
      <c r="I42" s="1">
        <v>0</v>
      </c>
      <c r="J42" s="1">
        <v>0</v>
      </c>
      <c r="K42" s="17">
        <f>K32+K37</f>
        <v>2</v>
      </c>
      <c r="L42" t="b">
        <f t="shared" ref="L42:L43" si="16">COUNTIF(H47:J47, TRUE)&gt;=K42</f>
        <v>0</v>
      </c>
      <c r="N42" s="14">
        <v>1</v>
      </c>
      <c r="O42" s="1">
        <v>0</v>
      </c>
      <c r="P42" s="1">
        <v>2</v>
      </c>
      <c r="Q42" t="b">
        <f t="shared" ref="Q42:Q44" si="17">COUNTIF(N47:O47, TRUE)&gt;=P42</f>
        <v>0</v>
      </c>
      <c r="R42">
        <f>$H$5</f>
        <v>0</v>
      </c>
      <c r="S42" t="b">
        <f>_xlfn.XOR(Q42,R42)</f>
        <v>0</v>
      </c>
    </row>
    <row r="43" spans="1:20" ht="15.75" customHeight="1">
      <c r="A43" s="1">
        <f>$E$5</f>
        <v>1</v>
      </c>
      <c r="B43" s="1">
        <v>0</v>
      </c>
      <c r="C43" s="1">
        <v>0</v>
      </c>
      <c r="D43" s="1">
        <v>0</v>
      </c>
      <c r="E43" s="1">
        <v>3</v>
      </c>
      <c r="F43" t="b">
        <f t="shared" si="15"/>
        <v>0</v>
      </c>
      <c r="H43" s="1">
        <v>0</v>
      </c>
      <c r="I43" s="1">
        <v>0</v>
      </c>
      <c r="J43" s="1">
        <v>0</v>
      </c>
      <c r="K43" s="1">
        <v>3</v>
      </c>
      <c r="L43" t="b">
        <f t="shared" si="16"/>
        <v>0</v>
      </c>
      <c r="N43" s="14">
        <v>1</v>
      </c>
      <c r="O43" s="1">
        <v>0</v>
      </c>
      <c r="P43" s="1">
        <v>2</v>
      </c>
      <c r="Q43" t="b">
        <f t="shared" si="17"/>
        <v>0</v>
      </c>
      <c r="R43">
        <f>$I$5</f>
        <v>1</v>
      </c>
      <c r="S43" t="b">
        <f>_xlfn.XOR(Q43,R43)</f>
        <v>1</v>
      </c>
    </row>
    <row r="44" spans="1:20" ht="15.75" customHeight="1">
      <c r="A44">
        <f>$F$5</f>
        <v>0</v>
      </c>
      <c r="B44" s="1">
        <v>0</v>
      </c>
      <c r="C44" s="1">
        <v>0</v>
      </c>
      <c r="D44" s="1">
        <v>0</v>
      </c>
      <c r="E44" s="1">
        <v>3</v>
      </c>
      <c r="F44" t="b">
        <f t="shared" si="15"/>
        <v>0</v>
      </c>
      <c r="N44" s="14">
        <v>0</v>
      </c>
      <c r="O44" s="1">
        <v>0</v>
      </c>
      <c r="P44" s="1">
        <v>2</v>
      </c>
      <c r="Q44" t="b">
        <f t="shared" si="17"/>
        <v>0</v>
      </c>
      <c r="R44">
        <f>$J$5</f>
        <v>1</v>
      </c>
      <c r="S44" t="b">
        <f>_xlfn.XOR(Q44,R44)</f>
        <v>1</v>
      </c>
    </row>
    <row r="46" spans="1:20" ht="15.75" customHeight="1">
      <c r="B46" s="1" t="s">
        <v>182</v>
      </c>
      <c r="H46" s="1" t="s">
        <v>183</v>
      </c>
      <c r="K46" s="1" t="s">
        <v>76</v>
      </c>
      <c r="L46" s="1" t="s">
        <v>44</v>
      </c>
      <c r="N46" s="1" t="s">
        <v>184</v>
      </c>
      <c r="Q46" s="1" t="s">
        <v>70</v>
      </c>
    </row>
    <row r="47" spans="1:20" ht="15.75" customHeight="1">
      <c r="B47" t="b">
        <f>_xlfn.XOR($A42,B42)</f>
        <v>1</v>
      </c>
      <c r="C47" t="b">
        <f>_xlfn.XOR($A43,C42)</f>
        <v>1</v>
      </c>
      <c r="D47" t="b">
        <f>_xlfn.XOR($A44,D42)</f>
        <v>0</v>
      </c>
      <c r="H47" t="b">
        <f>_xlfn.XOR($F42,$H42)</f>
        <v>0</v>
      </c>
      <c r="I47" t="b">
        <f>_xlfn.XOR($F43,$I42)</f>
        <v>0</v>
      </c>
      <c r="J47" t="b">
        <f>_xlfn.XOR($F44,$J42)</f>
        <v>0</v>
      </c>
      <c r="K47">
        <f t="shared" ref="K47:K48" si="18">IF(L47,IF(L42,1,-1),0)</f>
        <v>-1</v>
      </c>
      <c r="L47" t="b">
        <f>OR(Q47:Q49)</f>
        <v>1</v>
      </c>
      <c r="N47" t="b">
        <f>_xlfn.XOR($L42,$N42)</f>
        <v>1</v>
      </c>
      <c r="O47" t="b">
        <f>_xlfn.XOR($L43,$O42)</f>
        <v>0</v>
      </c>
      <c r="Q47" t="b">
        <f t="shared" ref="Q47:R49" si="19">AND($S42,(_xlfn.XOR(N47,NOT($Q42))))</f>
        <v>0</v>
      </c>
      <c r="R47" t="b">
        <f t="shared" si="19"/>
        <v>0</v>
      </c>
      <c r="T47" s="1" t="s">
        <v>78</v>
      </c>
    </row>
    <row r="48" spans="1:20" ht="15.75" customHeight="1">
      <c r="B48" t="b">
        <f>_xlfn.XOR($A42,B43)</f>
        <v>1</v>
      </c>
      <c r="C48" t="b">
        <f>_xlfn.XOR($A43,C43)</f>
        <v>1</v>
      </c>
      <c r="D48" t="b">
        <f>_xlfn.XOR($A44,D43)</f>
        <v>0</v>
      </c>
      <c r="H48" t="b">
        <f>_xlfn.XOR($F42,$H43)</f>
        <v>0</v>
      </c>
      <c r="I48" t="b">
        <f>_xlfn.XOR($F43,$I43)</f>
        <v>0</v>
      </c>
      <c r="J48" t="b">
        <f>_xlfn.XOR($F44,$J43)</f>
        <v>0</v>
      </c>
      <c r="K48">
        <f t="shared" si="18"/>
        <v>-1</v>
      </c>
      <c r="L48" t="b">
        <f>OR(R47:R49)</f>
        <v>1</v>
      </c>
      <c r="N48" t="b">
        <f>_xlfn.XOR($L42,$N43)</f>
        <v>1</v>
      </c>
      <c r="O48" t="b">
        <f>_xlfn.XOR($L43,$O43)</f>
        <v>0</v>
      </c>
      <c r="Q48" t="b">
        <f t="shared" si="19"/>
        <v>0</v>
      </c>
      <c r="R48" t="b">
        <f t="shared" si="19"/>
        <v>1</v>
      </c>
    </row>
    <row r="49" spans="1:36" ht="15.75" customHeight="1">
      <c r="B49" t="b">
        <f>_xlfn.XOR($A42,B44)</f>
        <v>1</v>
      </c>
      <c r="C49" t="b">
        <f>_xlfn.XOR($A43,C44)</f>
        <v>1</v>
      </c>
      <c r="D49" t="b">
        <f>_xlfn.XOR($A44,D44)</f>
        <v>0</v>
      </c>
      <c r="H49" s="1" t="s">
        <v>79</v>
      </c>
      <c r="N49" t="b">
        <f>_xlfn.XOR($L42,$N44)</f>
        <v>0</v>
      </c>
      <c r="O49" t="b">
        <f>_xlfn.XOR($L43,$O44)</f>
        <v>0</v>
      </c>
      <c r="Q49" t="b">
        <f t="shared" si="19"/>
        <v>1</v>
      </c>
      <c r="R49" t="b">
        <f t="shared" si="19"/>
        <v>1</v>
      </c>
    </row>
    <row r="50" spans="1:36" ht="15.75" customHeight="1">
      <c r="H50" t="b">
        <f t="shared" ref="H50:J51" si="20">AND($L47,(_xlfn.XOR(H47,NOT($L42))))</f>
        <v>1</v>
      </c>
      <c r="I50" t="b">
        <f t="shared" si="20"/>
        <v>1</v>
      </c>
      <c r="J50" t="b">
        <f t="shared" si="20"/>
        <v>1</v>
      </c>
    </row>
    <row r="51" spans="1:36" ht="15.75" customHeight="1">
      <c r="H51" t="b">
        <f t="shared" si="20"/>
        <v>1</v>
      </c>
      <c r="I51" t="b">
        <f t="shared" si="20"/>
        <v>1</v>
      </c>
      <c r="J51" t="b">
        <f t="shared" si="20"/>
        <v>1</v>
      </c>
    </row>
    <row r="53" spans="1:36" ht="15.75" customHeight="1">
      <c r="A53" s="2" t="s">
        <v>80</v>
      </c>
      <c r="B53" s="39" t="s">
        <v>27</v>
      </c>
      <c r="C53" s="38"/>
      <c r="D53" s="38"/>
      <c r="E53" s="2" t="s">
        <v>28</v>
      </c>
      <c r="F53" s="2" t="s">
        <v>29</v>
      </c>
      <c r="G53" s="6"/>
      <c r="H53" s="39" t="s">
        <v>30</v>
      </c>
      <c r="I53" s="38"/>
      <c r="J53" s="38"/>
      <c r="K53" s="2" t="s">
        <v>31</v>
      </c>
      <c r="L53" s="2" t="s">
        <v>37</v>
      </c>
      <c r="N53" s="39" t="s">
        <v>38</v>
      </c>
      <c r="O53" s="38"/>
      <c r="P53" s="2" t="s">
        <v>39</v>
      </c>
      <c r="Q53" s="2" t="s">
        <v>32</v>
      </c>
      <c r="R53" s="2" t="s">
        <v>81</v>
      </c>
      <c r="S53" s="2" t="s">
        <v>34</v>
      </c>
      <c r="T53" s="2"/>
      <c r="U53" s="2"/>
    </row>
    <row r="54" spans="1:36" ht="15.75" customHeight="1">
      <c r="A54" s="1">
        <f>$D$6</f>
        <v>0</v>
      </c>
      <c r="B54" s="1">
        <v>0</v>
      </c>
      <c r="C54" s="1">
        <v>0</v>
      </c>
      <c r="D54" s="1">
        <v>0</v>
      </c>
      <c r="E54" s="1">
        <v>3</v>
      </c>
      <c r="F54" t="b">
        <f t="shared" ref="F54:F56" si="21">COUNTIF(B59:D59, TRUE)&gt;=E54</f>
        <v>0</v>
      </c>
      <c r="H54" s="17" t="b">
        <f t="shared" ref="H54:H55" si="22">IF(H50,NOT(H42),H42)</f>
        <v>1</v>
      </c>
      <c r="I54" s="1">
        <v>0</v>
      </c>
      <c r="J54" s="1">
        <v>0</v>
      </c>
      <c r="K54" s="1">
        <v>2</v>
      </c>
      <c r="L54" t="b">
        <f t="shared" ref="L54:L55" si="23">COUNTIF(H59:J59, TRUE)&gt;=K54</f>
        <v>0</v>
      </c>
      <c r="N54" s="14">
        <v>1</v>
      </c>
      <c r="O54" s="1">
        <v>0</v>
      </c>
      <c r="P54" s="1">
        <v>2</v>
      </c>
      <c r="Q54" t="b">
        <f t="shared" ref="Q54:Q56" si="24">COUNTIF(N59:O59, TRUE)&gt;=P54</f>
        <v>0</v>
      </c>
      <c r="R54">
        <f>$H$6</f>
        <v>0</v>
      </c>
      <c r="S54" t="b">
        <f>_xlfn.XOR(Q54,R54)</f>
        <v>0</v>
      </c>
      <c r="T54" s="2"/>
      <c r="U54" s="2"/>
    </row>
    <row r="55" spans="1:36" ht="15.75" customHeight="1">
      <c r="A55" s="1">
        <f>$E$6</f>
        <v>0</v>
      </c>
      <c r="B55" s="1">
        <v>0</v>
      </c>
      <c r="C55" s="1">
        <v>0</v>
      </c>
      <c r="D55" s="1">
        <v>0</v>
      </c>
      <c r="E55" s="1">
        <v>3</v>
      </c>
      <c r="F55" t="b">
        <f t="shared" si="21"/>
        <v>0</v>
      </c>
      <c r="H55" s="17" t="b">
        <f t="shared" si="22"/>
        <v>1</v>
      </c>
      <c r="I55" s="1">
        <v>0</v>
      </c>
      <c r="J55" s="1">
        <v>0</v>
      </c>
      <c r="K55" s="1">
        <v>3</v>
      </c>
      <c r="L55" t="b">
        <f t="shared" si="23"/>
        <v>0</v>
      </c>
      <c r="N55" s="14">
        <v>1</v>
      </c>
      <c r="O55" s="1">
        <v>0</v>
      </c>
      <c r="P55" s="1">
        <v>2</v>
      </c>
      <c r="Q55" t="b">
        <f t="shared" si="24"/>
        <v>0</v>
      </c>
      <c r="R55">
        <f>$I$6</f>
        <v>1</v>
      </c>
      <c r="S55" t="b">
        <f>_xlfn.XOR(Q55,R55)</f>
        <v>1</v>
      </c>
      <c r="T55" s="2"/>
      <c r="U55" s="2"/>
    </row>
    <row r="56" spans="1:36" ht="15.75" customHeight="1">
      <c r="A56">
        <f>$F$6</f>
        <v>1</v>
      </c>
      <c r="B56" s="1">
        <v>0</v>
      </c>
      <c r="C56" s="1">
        <v>0</v>
      </c>
      <c r="D56" s="1">
        <v>0</v>
      </c>
      <c r="E56" s="1">
        <v>3</v>
      </c>
      <c r="F56" t="b">
        <f t="shared" si="21"/>
        <v>0</v>
      </c>
      <c r="N56" s="14">
        <v>0</v>
      </c>
      <c r="O56" s="1">
        <v>0</v>
      </c>
      <c r="P56" s="1">
        <v>2</v>
      </c>
      <c r="Q56" t="b">
        <f t="shared" si="24"/>
        <v>0</v>
      </c>
      <c r="R56">
        <f>$J$6</f>
        <v>0</v>
      </c>
      <c r="S56" t="b">
        <f>_xlfn.XOR(Q56,R56)</f>
        <v>0</v>
      </c>
      <c r="T56" s="2"/>
      <c r="U56" s="2"/>
    </row>
    <row r="57" spans="1:36" ht="15.75" customHeight="1">
      <c r="T57" s="2"/>
      <c r="U57" s="2"/>
    </row>
    <row r="58" spans="1:36" ht="15.75" customHeight="1">
      <c r="B58" s="1" t="s">
        <v>182</v>
      </c>
      <c r="E58" s="1" t="s">
        <v>67</v>
      </c>
      <c r="F58" s="1" t="s">
        <v>34</v>
      </c>
      <c r="H58" s="1" t="s">
        <v>183</v>
      </c>
      <c r="K58" s="1" t="s">
        <v>76</v>
      </c>
      <c r="L58" s="1" t="s">
        <v>44</v>
      </c>
      <c r="N58" s="1" t="s">
        <v>184</v>
      </c>
      <c r="Q58" s="1" t="s">
        <v>70</v>
      </c>
      <c r="T58" s="2"/>
      <c r="U58" s="2"/>
    </row>
    <row r="59" spans="1:36" ht="15.75" customHeight="1">
      <c r="B59" t="b">
        <f>_xlfn.XOR($A54,B54)</f>
        <v>0</v>
      </c>
      <c r="C59" t="b">
        <f>_xlfn.XOR($A55,C54)</f>
        <v>0</v>
      </c>
      <c r="D59" t="b">
        <f>_xlfn.XOR($A56,D54)</f>
        <v>1</v>
      </c>
      <c r="E59">
        <f t="shared" ref="E59:E61" si="25">IF(F59,IF(F54,1,-1),0)</f>
        <v>0</v>
      </c>
      <c r="F59" t="b">
        <f>OR(H62:H63)</f>
        <v>0</v>
      </c>
      <c r="H59" t="b">
        <f>_xlfn.XOR($F54,$H54)</f>
        <v>1</v>
      </c>
      <c r="I59" t="b">
        <f>_xlfn.XOR($F55,$I54)</f>
        <v>0</v>
      </c>
      <c r="J59" t="b">
        <f>_xlfn.XOR($F56,$J54)</f>
        <v>0</v>
      </c>
      <c r="K59">
        <f t="shared" ref="K59:K60" si="26">IF(L59,IF(L54,1,-1),0)</f>
        <v>0</v>
      </c>
      <c r="L59" t="b">
        <f>OR(Q59:Q61)</f>
        <v>0</v>
      </c>
      <c r="N59" t="b">
        <f>_xlfn.XOR($L54,$N54)</f>
        <v>1</v>
      </c>
      <c r="O59" t="b">
        <f>_xlfn.XOR($L55,$O54)</f>
        <v>0</v>
      </c>
      <c r="Q59" t="b">
        <f t="shared" ref="Q59:R61" si="27">AND($S54,(_xlfn.XOR(N59,NOT($Q54))))</f>
        <v>0</v>
      </c>
      <c r="R59" t="b">
        <f t="shared" si="27"/>
        <v>0</v>
      </c>
      <c r="T59" s="1" t="s">
        <v>93</v>
      </c>
      <c r="U59" s="2"/>
    </row>
    <row r="60" spans="1:36" ht="15.75" customHeight="1">
      <c r="B60" t="b">
        <f>_xlfn.XOR($A54,B55)</f>
        <v>0</v>
      </c>
      <c r="C60" t="b">
        <f>_xlfn.XOR($A55,C55)</f>
        <v>0</v>
      </c>
      <c r="D60" t="b">
        <f>_xlfn.XOR($A56,D55)</f>
        <v>1</v>
      </c>
      <c r="E60">
        <f t="shared" si="25"/>
        <v>-1</v>
      </c>
      <c r="F60" t="b">
        <f>OR(I62:I63)</f>
        <v>1</v>
      </c>
      <c r="H60" t="b">
        <f>_xlfn.XOR($F54,$H55)</f>
        <v>1</v>
      </c>
      <c r="I60" t="b">
        <f>_xlfn.XOR($F55,$I55)</f>
        <v>0</v>
      </c>
      <c r="J60" t="b">
        <f>_xlfn.XOR($F56,$J55)</f>
        <v>0</v>
      </c>
      <c r="K60">
        <f t="shared" si="26"/>
        <v>-1</v>
      </c>
      <c r="L60" t="b">
        <f>OR(R59:R61)</f>
        <v>1</v>
      </c>
      <c r="N60" t="b">
        <f>_xlfn.XOR($L54,$N55)</f>
        <v>1</v>
      </c>
      <c r="O60" t="b">
        <f>_xlfn.XOR($L55,$O55)</f>
        <v>0</v>
      </c>
      <c r="Q60" t="b">
        <f t="shared" si="27"/>
        <v>0</v>
      </c>
      <c r="R60" t="b">
        <f t="shared" si="27"/>
        <v>1</v>
      </c>
      <c r="T60" s="2"/>
      <c r="U60" s="2" t="s">
        <v>94</v>
      </c>
      <c r="V60" s="2" t="s">
        <v>95</v>
      </c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ht="15.75" customHeight="1">
      <c r="B61" t="b">
        <f>_xlfn.XOR($A54,B56)</f>
        <v>0</v>
      </c>
      <c r="C61" t="b">
        <f>_xlfn.XOR($A55,C56)</f>
        <v>0</v>
      </c>
      <c r="D61" t="b">
        <f>_xlfn.XOR($A56,D56)</f>
        <v>1</v>
      </c>
      <c r="E61">
        <f t="shared" si="25"/>
        <v>-1</v>
      </c>
      <c r="F61" t="b">
        <f>OR(J62:J63)</f>
        <v>1</v>
      </c>
      <c r="H61" s="1" t="s">
        <v>56</v>
      </c>
      <c r="N61" t="b">
        <f>_xlfn.XOR($L54,$N56)</f>
        <v>0</v>
      </c>
      <c r="O61" t="b">
        <f>_xlfn.XOR($L55,$O56)</f>
        <v>0</v>
      </c>
      <c r="Q61" t="b">
        <f t="shared" si="27"/>
        <v>0</v>
      </c>
      <c r="R61" t="b">
        <f t="shared" si="27"/>
        <v>0</v>
      </c>
      <c r="T61" s="2"/>
      <c r="U61" s="2">
        <v>0</v>
      </c>
      <c r="V61" s="2">
        <v>1</v>
      </c>
      <c r="W61" s="2"/>
      <c r="X61" s="2">
        <v>0</v>
      </c>
      <c r="Y61" s="2">
        <v>0</v>
      </c>
      <c r="Z61" s="2">
        <v>0</v>
      </c>
      <c r="AA61" s="2"/>
      <c r="AB61" t="b">
        <f>AND($V$61,(_xlfn.XOR(X61,NOT($U$61))))</f>
        <v>1</v>
      </c>
      <c r="AC61" t="b">
        <f>AND($V$61,(_xlfn.XOR(Y61,NOT($U$61))))</f>
        <v>1</v>
      </c>
      <c r="AD61" t="b">
        <f>AND($V$61,(_xlfn.XOR(Z61,NOT($U$61))))</f>
        <v>1</v>
      </c>
      <c r="AE61" s="2"/>
      <c r="AF61" s="2"/>
      <c r="AG61" s="2"/>
      <c r="AH61" s="2"/>
      <c r="AI61" s="2"/>
      <c r="AJ61" s="2"/>
    </row>
    <row r="62" spans="1:36" ht="15.75" customHeight="1">
      <c r="H62" t="b">
        <f t="shared" ref="H62:J63" si="28">AND($L59,(_xlfn.XOR(H59,NOT($L54))))</f>
        <v>0</v>
      </c>
      <c r="I62" t="b">
        <f t="shared" si="28"/>
        <v>0</v>
      </c>
      <c r="J62" t="b">
        <f t="shared" si="28"/>
        <v>0</v>
      </c>
      <c r="T62" s="2"/>
      <c r="U62" s="2">
        <v>0</v>
      </c>
      <c r="V62" s="2">
        <v>1</v>
      </c>
      <c r="W62" s="2"/>
      <c r="X62" s="2">
        <v>0</v>
      </c>
      <c r="Y62" s="2">
        <v>0</v>
      </c>
      <c r="Z62" s="2">
        <v>0</v>
      </c>
      <c r="AA62" s="2"/>
      <c r="AB62" t="b">
        <f>AND($V$62,(_xlfn.XOR(X62,NOT($U$62))))</f>
        <v>1</v>
      </c>
      <c r="AC62" t="b">
        <f>AND($V$62,(_xlfn.XOR(Y62,NOT($U$62))))</f>
        <v>1</v>
      </c>
      <c r="AD62" t="b">
        <f>AND($V$62,(_xlfn.XOR(Z62,NOT($U$62))))</f>
        <v>1</v>
      </c>
      <c r="AE62" s="2"/>
      <c r="AF62" s="2"/>
      <c r="AG62" s="2"/>
      <c r="AH62" s="2"/>
      <c r="AI62" s="2"/>
      <c r="AJ62" s="2"/>
    </row>
    <row r="63" spans="1:36" ht="15.75" customHeight="1">
      <c r="H63" t="b">
        <f t="shared" si="28"/>
        <v>0</v>
      </c>
      <c r="I63" t="b">
        <f t="shared" si="28"/>
        <v>1</v>
      </c>
      <c r="J63" t="b">
        <f t="shared" si="28"/>
        <v>1</v>
      </c>
      <c r="T63" s="2"/>
      <c r="U63" s="2"/>
    </row>
    <row r="64" spans="1:36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 ht="15.75" customHeight="1">
      <c r="A65" s="2" t="s">
        <v>96</v>
      </c>
      <c r="B65" s="39" t="s">
        <v>27</v>
      </c>
      <c r="C65" s="38"/>
      <c r="D65" s="38"/>
      <c r="E65" s="2" t="s">
        <v>28</v>
      </c>
      <c r="F65" s="2" t="s">
        <v>29</v>
      </c>
      <c r="G65" s="6"/>
      <c r="H65" s="39" t="s">
        <v>30</v>
      </c>
      <c r="I65" s="38"/>
      <c r="J65" s="38"/>
      <c r="K65" s="2" t="s">
        <v>31</v>
      </c>
      <c r="L65" s="2" t="s">
        <v>37</v>
      </c>
      <c r="N65" s="39" t="s">
        <v>38</v>
      </c>
      <c r="O65" s="38"/>
      <c r="P65" s="2" t="s">
        <v>39</v>
      </c>
      <c r="Q65" s="2" t="s">
        <v>32</v>
      </c>
      <c r="R65" s="2" t="s">
        <v>97</v>
      </c>
      <c r="S65" s="2" t="s">
        <v>34</v>
      </c>
      <c r="T65" s="2"/>
      <c r="U65" s="2"/>
    </row>
    <row r="66" spans="1:21" ht="13">
      <c r="A66" s="1">
        <f>$D$7</f>
        <v>0</v>
      </c>
      <c r="B66" s="1">
        <v>0</v>
      </c>
      <c r="C66" s="1">
        <v>0</v>
      </c>
      <c r="D66" s="1">
        <v>0</v>
      </c>
      <c r="E66" s="1">
        <v>3</v>
      </c>
      <c r="F66" t="b">
        <f t="shared" ref="F66:F68" si="29">COUNTIF(B71:D71, TRUE)&gt;=E66</f>
        <v>0</v>
      </c>
      <c r="H66" s="1">
        <v>1</v>
      </c>
      <c r="I66" s="1">
        <v>0</v>
      </c>
      <c r="J66" s="1">
        <v>0</v>
      </c>
      <c r="K66" s="1">
        <v>2</v>
      </c>
      <c r="L66" t="b">
        <f t="shared" ref="L66:L67" si="30">COUNTIF(H71:J71, TRUE)&gt;=K66</f>
        <v>1</v>
      </c>
      <c r="N66" s="14">
        <v>1</v>
      </c>
      <c r="O66" s="1">
        <v>0</v>
      </c>
      <c r="P66" s="1">
        <v>2</v>
      </c>
      <c r="Q66" t="b">
        <f t="shared" ref="Q66:Q68" si="31">COUNTIF(N71:O71, TRUE)&gt;=P66</f>
        <v>0</v>
      </c>
      <c r="R66">
        <f>$H$7</f>
        <v>1</v>
      </c>
      <c r="S66" t="b">
        <f>_xlfn.XOR(Q66,R66)</f>
        <v>1</v>
      </c>
      <c r="T66" s="2"/>
      <c r="U66" s="2"/>
    </row>
    <row r="67" spans="1:21" ht="13">
      <c r="A67" s="1">
        <f>$E$7</f>
        <v>1</v>
      </c>
      <c r="B67" s="1">
        <v>0</v>
      </c>
      <c r="C67" s="1">
        <v>0</v>
      </c>
      <c r="D67" s="1">
        <v>0</v>
      </c>
      <c r="E67" s="17">
        <f>E55+E60</f>
        <v>2</v>
      </c>
      <c r="F67" t="b">
        <f t="shared" si="29"/>
        <v>1</v>
      </c>
      <c r="H67" s="1">
        <v>1</v>
      </c>
      <c r="I67" s="1">
        <v>0</v>
      </c>
      <c r="J67" s="1">
        <v>0</v>
      </c>
      <c r="K67" s="1">
        <v>3</v>
      </c>
      <c r="L67" t="b">
        <f t="shared" si="30"/>
        <v>0</v>
      </c>
      <c r="N67" s="14">
        <v>1</v>
      </c>
      <c r="O67" s="1">
        <v>0</v>
      </c>
      <c r="P67" s="1">
        <v>2</v>
      </c>
      <c r="Q67" t="b">
        <f t="shared" si="31"/>
        <v>0</v>
      </c>
      <c r="R67">
        <f>$I$7</f>
        <v>0</v>
      </c>
      <c r="S67" t="b">
        <f>_xlfn.XOR(Q67,R67)</f>
        <v>0</v>
      </c>
    </row>
    <row r="68" spans="1:21" ht="13">
      <c r="A68">
        <f>$F$7</f>
        <v>1</v>
      </c>
      <c r="B68" s="1">
        <v>0</v>
      </c>
      <c r="C68" s="1">
        <v>0</v>
      </c>
      <c r="D68" s="1">
        <v>0</v>
      </c>
      <c r="E68" s="1">
        <v>3</v>
      </c>
      <c r="F68" t="b">
        <f t="shared" si="29"/>
        <v>0</v>
      </c>
      <c r="N68" s="14">
        <v>0</v>
      </c>
      <c r="O68" s="1">
        <v>0</v>
      </c>
      <c r="P68" s="1">
        <v>2</v>
      </c>
      <c r="Q68" t="b">
        <f t="shared" si="31"/>
        <v>0</v>
      </c>
      <c r="R68">
        <f>$J$7</f>
        <v>0</v>
      </c>
      <c r="S68" t="b">
        <f>_xlfn.XOR(Q68,R68)</f>
        <v>0</v>
      </c>
    </row>
    <row r="70" spans="1:21" ht="13">
      <c r="B70" s="1" t="s">
        <v>182</v>
      </c>
      <c r="E70" s="1" t="s">
        <v>67</v>
      </c>
      <c r="F70" s="1" t="s">
        <v>34</v>
      </c>
      <c r="H70" s="1" t="s">
        <v>183</v>
      </c>
      <c r="K70" s="1" t="s">
        <v>76</v>
      </c>
      <c r="L70" s="1" t="s">
        <v>44</v>
      </c>
      <c r="N70" s="1" t="s">
        <v>184</v>
      </c>
      <c r="Q70" s="1" t="s">
        <v>70</v>
      </c>
      <c r="T70" s="2"/>
      <c r="U70" s="2"/>
    </row>
    <row r="71" spans="1:21" ht="13">
      <c r="B71" t="b">
        <f>_xlfn.XOR($A66,B66)</f>
        <v>0</v>
      </c>
      <c r="C71" t="b">
        <f>_xlfn.XOR($A67,C66)</f>
        <v>1</v>
      </c>
      <c r="D71" t="b">
        <f>_xlfn.XOR($A68,D66)</f>
        <v>1</v>
      </c>
      <c r="E71">
        <f t="shared" ref="E71:E73" si="32">IF(F71,IF(F66,1,-1),0)</f>
        <v>-1</v>
      </c>
      <c r="F71" t="b">
        <f>OR(H74:H75)</f>
        <v>1</v>
      </c>
      <c r="H71" t="b">
        <f>_xlfn.XOR($F66,$H66)</f>
        <v>1</v>
      </c>
      <c r="I71" t="b">
        <f>_xlfn.XOR($F67,$I66)</f>
        <v>1</v>
      </c>
      <c r="J71" t="b">
        <f>_xlfn.XOR($F68,$J66)</f>
        <v>0</v>
      </c>
      <c r="K71">
        <f t="shared" ref="K71:K72" si="33">IF(L71,IF(L66,1,-1),0)</f>
        <v>1</v>
      </c>
      <c r="L71" t="b">
        <f>OR(Q71:Q73)</f>
        <v>1</v>
      </c>
      <c r="N71" t="b">
        <f>_xlfn.XOR($L66,$N66)</f>
        <v>0</v>
      </c>
      <c r="O71" t="b">
        <f>_xlfn.XOR($L67,$O66)</f>
        <v>0</v>
      </c>
      <c r="Q71" t="b">
        <f t="shared" ref="Q71:R73" si="34">AND($S66,(_xlfn.XOR(N71,NOT($Q66))))</f>
        <v>1</v>
      </c>
      <c r="R71" t="b">
        <f t="shared" si="34"/>
        <v>1</v>
      </c>
      <c r="T71" s="1" t="s">
        <v>98</v>
      </c>
      <c r="U71" s="2"/>
    </row>
    <row r="72" spans="1:21" ht="13">
      <c r="B72" t="b">
        <f>_xlfn.XOR($A66,B67)</f>
        <v>0</v>
      </c>
      <c r="C72" t="b">
        <f>_xlfn.XOR($A67,C67)</f>
        <v>1</v>
      </c>
      <c r="D72" t="b">
        <f>_xlfn.XOR($A68,D67)</f>
        <v>1</v>
      </c>
      <c r="E72">
        <f t="shared" si="32"/>
        <v>1</v>
      </c>
      <c r="F72" t="b">
        <f>OR(I74:I75)</f>
        <v>1</v>
      </c>
      <c r="H72" t="b">
        <f>_xlfn.XOR($F66,$H67)</f>
        <v>1</v>
      </c>
      <c r="I72" t="b">
        <f>_xlfn.XOR($F67,$I67)</f>
        <v>1</v>
      </c>
      <c r="J72" t="b">
        <f>_xlfn.XOR($F68,$J67)</f>
        <v>0</v>
      </c>
      <c r="K72">
        <f t="shared" si="33"/>
        <v>-1</v>
      </c>
      <c r="L72" t="b">
        <f>OR(R71:R73)</f>
        <v>1</v>
      </c>
      <c r="N72" t="b">
        <f>_xlfn.XOR($L66,$N67)</f>
        <v>0</v>
      </c>
      <c r="O72" t="b">
        <f>_xlfn.XOR($L67,$O67)</f>
        <v>0</v>
      </c>
      <c r="Q72" t="b">
        <f t="shared" si="34"/>
        <v>0</v>
      </c>
      <c r="R72" t="b">
        <f t="shared" si="34"/>
        <v>0</v>
      </c>
      <c r="T72" s="2"/>
      <c r="U72" s="2"/>
    </row>
    <row r="73" spans="1:21" ht="13">
      <c r="B73" t="b">
        <f>_xlfn.XOR($A66,B68)</f>
        <v>0</v>
      </c>
      <c r="C73" t="b">
        <f>_xlfn.XOR($A67,C68)</f>
        <v>1</v>
      </c>
      <c r="D73" t="b">
        <f>_xlfn.XOR($A68,D68)</f>
        <v>1</v>
      </c>
      <c r="E73">
        <f t="shared" si="32"/>
        <v>-1</v>
      </c>
      <c r="F73" t="b">
        <f>OR(J74:J75)</f>
        <v>1</v>
      </c>
      <c r="H73" s="1" t="s">
        <v>56</v>
      </c>
      <c r="N73" t="b">
        <f>_xlfn.XOR($L66,$N68)</f>
        <v>1</v>
      </c>
      <c r="O73" t="b">
        <f>_xlfn.XOR($L67,$O68)</f>
        <v>0</v>
      </c>
      <c r="Q73" t="b">
        <f t="shared" si="34"/>
        <v>0</v>
      </c>
      <c r="R73" t="b">
        <f t="shared" si="34"/>
        <v>0</v>
      </c>
      <c r="T73" s="2"/>
      <c r="U73" s="2"/>
    </row>
    <row r="74" spans="1:21" ht="13">
      <c r="B74" s="1" t="s">
        <v>99</v>
      </c>
      <c r="H74" t="b">
        <f t="shared" ref="H74:J75" si="35">AND($L71,(_xlfn.XOR(H71,NOT($L66))))</f>
        <v>1</v>
      </c>
      <c r="I74" t="b">
        <f t="shared" si="35"/>
        <v>1</v>
      </c>
      <c r="J74" t="b">
        <f t="shared" si="35"/>
        <v>0</v>
      </c>
      <c r="T74" s="2"/>
      <c r="U74" s="2"/>
    </row>
    <row r="75" spans="1:21" ht="13">
      <c r="B75" t="b">
        <f t="shared" ref="B75:D77" si="36">AND($F71,(_xlfn.XOR(B71,NOT($F66))))</f>
        <v>1</v>
      </c>
      <c r="C75" t="b">
        <f t="shared" si="36"/>
        <v>0</v>
      </c>
      <c r="D75" t="b">
        <f t="shared" si="36"/>
        <v>0</v>
      </c>
      <c r="H75" t="b">
        <f t="shared" si="35"/>
        <v>0</v>
      </c>
      <c r="I75" t="b">
        <f t="shared" si="35"/>
        <v>0</v>
      </c>
      <c r="J75" t="b">
        <f t="shared" si="35"/>
        <v>1</v>
      </c>
      <c r="T75" s="2"/>
      <c r="U75" s="2"/>
    </row>
    <row r="76" spans="1:21" ht="13">
      <c r="A76" s="2"/>
      <c r="B76" t="b">
        <f t="shared" si="36"/>
        <v>0</v>
      </c>
      <c r="C76" t="b">
        <f t="shared" si="36"/>
        <v>1</v>
      </c>
      <c r="D76" t="b">
        <f t="shared" si="36"/>
        <v>1</v>
      </c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</row>
    <row r="77" spans="1:21" ht="13">
      <c r="A77" s="2"/>
      <c r="B77" t="b">
        <f t="shared" si="36"/>
        <v>1</v>
      </c>
      <c r="C77" t="b">
        <f t="shared" si="36"/>
        <v>0</v>
      </c>
      <c r="D77" t="b">
        <f t="shared" si="36"/>
        <v>0</v>
      </c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 ht="1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</row>
    <row r="79" spans="1:21" ht="13">
      <c r="A79" s="2" t="s">
        <v>100</v>
      </c>
      <c r="B79" s="39" t="s">
        <v>27</v>
      </c>
      <c r="C79" s="38"/>
      <c r="D79" s="38"/>
      <c r="E79" s="2" t="s">
        <v>28</v>
      </c>
      <c r="F79" s="2" t="s">
        <v>29</v>
      </c>
      <c r="G79" s="6"/>
      <c r="H79" s="39" t="s">
        <v>30</v>
      </c>
      <c r="I79" s="38"/>
      <c r="J79" s="38"/>
      <c r="K79" s="2" t="s">
        <v>31</v>
      </c>
      <c r="L79" s="2" t="s">
        <v>37</v>
      </c>
      <c r="N79" s="39" t="s">
        <v>38</v>
      </c>
      <c r="O79" s="38"/>
      <c r="P79" s="2" t="s">
        <v>39</v>
      </c>
      <c r="Q79" s="2" t="s">
        <v>32</v>
      </c>
      <c r="R79" s="2" t="s">
        <v>101</v>
      </c>
      <c r="S79" s="2" t="s">
        <v>34</v>
      </c>
      <c r="T79" s="2"/>
      <c r="U79" s="2"/>
    </row>
    <row r="80" spans="1:21" ht="13">
      <c r="A80" s="1">
        <f>$D$8</f>
        <v>1</v>
      </c>
      <c r="B80" s="17" t="b">
        <f t="shared" ref="B80:B82" si="37">IF(B75,(NOT(B66)),B66)</f>
        <v>1</v>
      </c>
      <c r="C80" s="1">
        <v>0</v>
      </c>
      <c r="D80" s="1">
        <v>0</v>
      </c>
      <c r="E80" s="1">
        <v>3</v>
      </c>
      <c r="F80" t="b">
        <f t="shared" ref="F80:F82" si="38">COUNTIF(B85:D85, TRUE)&gt;=E80</f>
        <v>0</v>
      </c>
      <c r="H80" s="1">
        <v>1</v>
      </c>
      <c r="I80" s="1">
        <v>0</v>
      </c>
      <c r="J80" s="1">
        <v>0</v>
      </c>
      <c r="K80" s="1">
        <v>2</v>
      </c>
      <c r="L80" t="b">
        <f t="shared" ref="L80:L81" si="39">COUNTIF(H85:J85, TRUE)&gt;=K80</f>
        <v>1</v>
      </c>
      <c r="N80" s="14">
        <v>1</v>
      </c>
      <c r="O80" s="1">
        <v>0</v>
      </c>
      <c r="P80" s="1">
        <v>2</v>
      </c>
      <c r="Q80" t="b">
        <f t="shared" ref="Q80:Q82" si="40">COUNTIF(N85:O85, TRUE)&gt;=P80</f>
        <v>0</v>
      </c>
      <c r="R80">
        <f>$H$8</f>
        <v>0</v>
      </c>
      <c r="S80" t="b">
        <f>_xlfn.XOR(Q80,R80)</f>
        <v>0</v>
      </c>
    </row>
    <row r="81" spans="1:20" ht="13">
      <c r="A81" s="1">
        <f>$E$8</f>
        <v>0</v>
      </c>
      <c r="B81" s="17">
        <f t="shared" si="37"/>
        <v>0</v>
      </c>
      <c r="C81" s="1">
        <v>0</v>
      </c>
      <c r="D81" s="1">
        <v>0</v>
      </c>
      <c r="E81" s="1">
        <v>2</v>
      </c>
      <c r="F81" t="b">
        <f t="shared" si="38"/>
        <v>1</v>
      </c>
      <c r="H81" s="1">
        <v>1</v>
      </c>
      <c r="I81" s="1">
        <v>0</v>
      </c>
      <c r="J81" s="1">
        <v>0</v>
      </c>
      <c r="K81" s="1">
        <v>3</v>
      </c>
      <c r="L81" t="b">
        <f t="shared" si="39"/>
        <v>0</v>
      </c>
      <c r="N81" s="14">
        <v>1</v>
      </c>
      <c r="O81" s="1">
        <v>0</v>
      </c>
      <c r="P81" s="1">
        <v>2</v>
      </c>
      <c r="Q81" t="b">
        <f t="shared" si="40"/>
        <v>0</v>
      </c>
      <c r="R81">
        <f>$I$8</f>
        <v>1</v>
      </c>
      <c r="S81" t="b">
        <f>_xlfn.XOR(Q81,R81)</f>
        <v>1</v>
      </c>
    </row>
    <row r="82" spans="1:20" ht="13">
      <c r="A82">
        <f>$F$8</f>
        <v>1</v>
      </c>
      <c r="B82" s="17" t="b">
        <f t="shared" si="37"/>
        <v>1</v>
      </c>
      <c r="C82" s="1">
        <v>0</v>
      </c>
      <c r="D82" s="1">
        <v>0</v>
      </c>
      <c r="E82" s="1">
        <v>3</v>
      </c>
      <c r="F82" t="b">
        <f t="shared" si="38"/>
        <v>0</v>
      </c>
      <c r="N82" s="14">
        <v>0</v>
      </c>
      <c r="O82" s="1">
        <v>0</v>
      </c>
      <c r="P82" s="1">
        <v>2</v>
      </c>
      <c r="Q82" t="b">
        <f t="shared" si="40"/>
        <v>0</v>
      </c>
      <c r="R82">
        <f>$J$8</f>
        <v>0</v>
      </c>
      <c r="S82" t="b">
        <f>_xlfn.XOR(Q82,R82)</f>
        <v>0</v>
      </c>
    </row>
    <row r="84" spans="1:20" ht="13">
      <c r="B84" s="1" t="s">
        <v>182</v>
      </c>
      <c r="E84" s="1" t="s">
        <v>67</v>
      </c>
      <c r="F84" s="1" t="s">
        <v>34</v>
      </c>
      <c r="H84" s="1" t="s">
        <v>183</v>
      </c>
      <c r="K84" s="1" t="s">
        <v>76</v>
      </c>
      <c r="L84" s="1" t="s">
        <v>44</v>
      </c>
      <c r="N84" s="1" t="s">
        <v>184</v>
      </c>
      <c r="Q84" s="1" t="s">
        <v>70</v>
      </c>
      <c r="S84" s="1" t="s">
        <v>102</v>
      </c>
    </row>
    <row r="85" spans="1:20" ht="18">
      <c r="B85" t="b">
        <f>_xlfn.XOR($A80,B80)</f>
        <v>0</v>
      </c>
      <c r="C85" t="b">
        <f>_xlfn.XOR($A81,C80)</f>
        <v>0</v>
      </c>
      <c r="D85" t="b">
        <f>_xlfn.XOR($A82,D80)</f>
        <v>1</v>
      </c>
      <c r="E85">
        <f t="shared" ref="E85:E87" si="41">IF(F85,IF(F80,1,-1),0)</f>
        <v>-1</v>
      </c>
      <c r="F85" t="b">
        <f>OR(H88:H89)</f>
        <v>1</v>
      </c>
      <c r="H85" t="b">
        <f>_xlfn.XOR($F80,$H80)</f>
        <v>1</v>
      </c>
      <c r="I85" t="b">
        <f>_xlfn.XOR($F81,$I80)</f>
        <v>1</v>
      </c>
      <c r="J85" t="b">
        <f>_xlfn.XOR($F82,$J80)</f>
        <v>0</v>
      </c>
      <c r="K85">
        <f t="shared" ref="K85:K86" si="42">IF(L85,IF(L80,1,-1),0)</f>
        <v>1</v>
      </c>
      <c r="L85" t="b">
        <f>OR(Q85:Q87)</f>
        <v>1</v>
      </c>
      <c r="N85" t="b">
        <f>_xlfn.XOR($L80,$N80)</f>
        <v>0</v>
      </c>
      <c r="O85" t="b">
        <f>_xlfn.XOR($L81,$O80)</f>
        <v>0</v>
      </c>
      <c r="Q85" t="b">
        <f t="shared" ref="Q85:R87" si="43">AND($S80,(_xlfn.XOR(N85,NOT($Q80))))</f>
        <v>0</v>
      </c>
      <c r="R85" t="b">
        <f t="shared" si="43"/>
        <v>0</v>
      </c>
      <c r="S85" s="22">
        <f t="shared" ref="S85:S87" si="44">IF($S80,IF(Q80,1,-1),0)</f>
        <v>0</v>
      </c>
      <c r="T85" s="1" t="s">
        <v>103</v>
      </c>
    </row>
    <row r="86" spans="1:20" ht="18">
      <c r="B86" t="b">
        <f>_xlfn.XOR($A80,B81)</f>
        <v>1</v>
      </c>
      <c r="C86" t="b">
        <f>_xlfn.XOR($A81,C81)</f>
        <v>0</v>
      </c>
      <c r="D86" t="b">
        <f>_xlfn.XOR($A82,D81)</f>
        <v>1</v>
      </c>
      <c r="E86">
        <f t="shared" si="41"/>
        <v>1</v>
      </c>
      <c r="F86" t="b">
        <f>OR(I88:I89)</f>
        <v>1</v>
      </c>
      <c r="H86" t="b">
        <f>_xlfn.XOR($F80,$H81)</f>
        <v>1</v>
      </c>
      <c r="I86" t="b">
        <f>_xlfn.XOR($F81,$I81)</f>
        <v>1</v>
      </c>
      <c r="J86" t="b">
        <f>_xlfn.XOR($F82,$J81)</f>
        <v>0</v>
      </c>
      <c r="K86">
        <f t="shared" si="42"/>
        <v>-1</v>
      </c>
      <c r="L86" t="b">
        <f>OR(R85:R87)</f>
        <v>1</v>
      </c>
      <c r="N86" t="b">
        <f>_xlfn.XOR($L80,$N81)</f>
        <v>0</v>
      </c>
      <c r="O86" t="b">
        <f>_xlfn.XOR($L81,$O81)</f>
        <v>0</v>
      </c>
      <c r="Q86" t="b">
        <f t="shared" si="43"/>
        <v>1</v>
      </c>
      <c r="R86" t="b">
        <f t="shared" si="43"/>
        <v>1</v>
      </c>
      <c r="S86" s="22">
        <f t="shared" si="44"/>
        <v>-1</v>
      </c>
    </row>
    <row r="87" spans="1:20" ht="18">
      <c r="B87" t="b">
        <f>_xlfn.XOR($A80,B82)</f>
        <v>0</v>
      </c>
      <c r="C87" t="b">
        <f>_xlfn.XOR($A81,C82)</f>
        <v>0</v>
      </c>
      <c r="D87" t="b">
        <f>_xlfn.XOR($A82,D82)</f>
        <v>1</v>
      </c>
      <c r="E87">
        <f t="shared" si="41"/>
        <v>-1</v>
      </c>
      <c r="F87" t="b">
        <f>OR(J88:J89)</f>
        <v>1</v>
      </c>
      <c r="H87" s="1" t="s">
        <v>56</v>
      </c>
      <c r="N87" t="b">
        <f>_xlfn.XOR($L80,$N82)</f>
        <v>1</v>
      </c>
      <c r="O87" t="b">
        <f>_xlfn.XOR($L81,$O82)</f>
        <v>0</v>
      </c>
      <c r="Q87" t="b">
        <f t="shared" si="43"/>
        <v>0</v>
      </c>
      <c r="R87" t="b">
        <f t="shared" si="43"/>
        <v>0</v>
      </c>
      <c r="S87" s="22">
        <f t="shared" si="44"/>
        <v>0</v>
      </c>
    </row>
    <row r="88" spans="1:20" ht="13">
      <c r="B88" s="1" t="s">
        <v>99</v>
      </c>
      <c r="H88" t="b">
        <f t="shared" ref="H88:J89" si="45">AND($L85,(_xlfn.XOR(H85,NOT($L80))))</f>
        <v>1</v>
      </c>
      <c r="I88" t="b">
        <f t="shared" si="45"/>
        <v>1</v>
      </c>
      <c r="J88" t="b">
        <f t="shared" si="45"/>
        <v>0</v>
      </c>
    </row>
    <row r="89" spans="1:20" ht="13">
      <c r="B89" t="b">
        <f t="shared" ref="B89:D91" si="46">AND($F85,(_xlfn.XOR(B85,NOT($F80))))</f>
        <v>1</v>
      </c>
      <c r="C89" t="b">
        <f t="shared" si="46"/>
        <v>1</v>
      </c>
      <c r="D89" t="b">
        <f t="shared" si="46"/>
        <v>0</v>
      </c>
      <c r="H89" t="b">
        <f t="shared" si="45"/>
        <v>0</v>
      </c>
      <c r="I89" t="b">
        <f t="shared" si="45"/>
        <v>0</v>
      </c>
      <c r="J89" t="b">
        <f t="shared" si="45"/>
        <v>1</v>
      </c>
    </row>
    <row r="90" spans="1:20" ht="13">
      <c r="A90" s="2"/>
      <c r="B90" t="b">
        <f t="shared" si="46"/>
        <v>1</v>
      </c>
      <c r="C90" t="b">
        <f t="shared" si="46"/>
        <v>0</v>
      </c>
      <c r="D90" t="b">
        <f t="shared" si="46"/>
        <v>1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</row>
    <row r="91" spans="1:20" ht="13">
      <c r="A91" s="2"/>
      <c r="B91" t="b">
        <f t="shared" si="46"/>
        <v>1</v>
      </c>
      <c r="C91" t="b">
        <f t="shared" si="46"/>
        <v>1</v>
      </c>
      <c r="D91" t="b">
        <f t="shared" si="46"/>
        <v>0</v>
      </c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</row>
    <row r="93" spans="1:20" ht="13">
      <c r="A93" s="2" t="s">
        <v>104</v>
      </c>
      <c r="B93" s="39" t="s">
        <v>27</v>
      </c>
      <c r="C93" s="38"/>
      <c r="D93" s="38"/>
      <c r="E93" s="2" t="s">
        <v>28</v>
      </c>
      <c r="F93" s="2" t="s">
        <v>29</v>
      </c>
      <c r="G93" s="6"/>
      <c r="H93" s="39" t="s">
        <v>30</v>
      </c>
      <c r="I93" s="38"/>
      <c r="J93" s="38"/>
      <c r="K93" s="2" t="s">
        <v>31</v>
      </c>
      <c r="L93" s="2" t="s">
        <v>37</v>
      </c>
      <c r="N93" s="39" t="s">
        <v>38</v>
      </c>
      <c r="O93" s="38"/>
      <c r="P93" s="2" t="s">
        <v>39</v>
      </c>
      <c r="Q93" s="2" t="s">
        <v>32</v>
      </c>
      <c r="R93" s="2" t="s">
        <v>105</v>
      </c>
      <c r="S93" s="2" t="s">
        <v>34</v>
      </c>
    </row>
    <row r="94" spans="1:20" ht="13">
      <c r="A94" s="1">
        <f>$D$9</f>
        <v>1</v>
      </c>
      <c r="B94" s="1">
        <v>1</v>
      </c>
      <c r="C94" s="1">
        <v>0</v>
      </c>
      <c r="D94" s="1">
        <v>0</v>
      </c>
      <c r="E94" s="1">
        <v>3</v>
      </c>
      <c r="F94" t="b">
        <f t="shared" ref="F94:F96" si="47">COUNTIF(B99:D99, TRUE)&gt;=E94</f>
        <v>0</v>
      </c>
      <c r="H94" s="1">
        <v>1</v>
      </c>
      <c r="I94" s="1">
        <v>0</v>
      </c>
      <c r="J94" s="1">
        <v>0</v>
      </c>
      <c r="K94" s="1">
        <v>2</v>
      </c>
      <c r="L94" t="b">
        <f t="shared" ref="L94:L95" si="48">COUNTIF(H99:J99, TRUE)&gt;=K94</f>
        <v>1</v>
      </c>
      <c r="N94" s="14">
        <v>1</v>
      </c>
      <c r="O94" s="1">
        <v>0</v>
      </c>
      <c r="P94" s="1">
        <v>2</v>
      </c>
      <c r="Q94" t="b">
        <f t="shared" ref="Q94:Q96" si="49">COUNTIF(N99:O99, TRUE)&gt;=P94</f>
        <v>0</v>
      </c>
      <c r="R94">
        <f>$H$9</f>
        <v>0</v>
      </c>
      <c r="S94" t="b">
        <f>_xlfn.XOR(Q94,R94)</f>
        <v>0</v>
      </c>
    </row>
    <row r="95" spans="1:20" ht="13">
      <c r="A95" s="1">
        <f>$E$9</f>
        <v>1</v>
      </c>
      <c r="B95" s="1">
        <v>0</v>
      </c>
      <c r="C95" s="1">
        <v>0</v>
      </c>
      <c r="D95" s="1">
        <v>0</v>
      </c>
      <c r="E95" s="1">
        <v>2</v>
      </c>
      <c r="F95" t="b">
        <f t="shared" si="47"/>
        <v>1</v>
      </c>
      <c r="H95" s="1">
        <v>1</v>
      </c>
      <c r="I95" s="1">
        <v>0</v>
      </c>
      <c r="J95" s="1">
        <v>0</v>
      </c>
      <c r="K95" s="1">
        <v>3</v>
      </c>
      <c r="L95" t="b">
        <f t="shared" si="48"/>
        <v>0</v>
      </c>
      <c r="N95" s="14">
        <v>1</v>
      </c>
      <c r="O95" s="1">
        <v>0</v>
      </c>
      <c r="P95" s="17">
        <f>P81+S86</f>
        <v>1</v>
      </c>
      <c r="Q95" t="b">
        <f t="shared" si="49"/>
        <v>0</v>
      </c>
      <c r="R95">
        <f>$I$9</f>
        <v>0</v>
      </c>
      <c r="S95" t="b">
        <f>_xlfn.XOR(Q95,R95)</f>
        <v>0</v>
      </c>
    </row>
    <row r="96" spans="1:20" ht="13">
      <c r="A96">
        <f>$F$9</f>
        <v>1</v>
      </c>
      <c r="B96" s="1">
        <v>1</v>
      </c>
      <c r="C96" s="1">
        <v>0</v>
      </c>
      <c r="D96" s="1">
        <v>0</v>
      </c>
      <c r="E96" s="1">
        <v>3</v>
      </c>
      <c r="F96" t="b">
        <f t="shared" si="47"/>
        <v>0</v>
      </c>
      <c r="N96" s="14">
        <v>0</v>
      </c>
      <c r="O96" s="1">
        <v>0</v>
      </c>
      <c r="P96" s="1">
        <v>2</v>
      </c>
      <c r="Q96" t="b">
        <f t="shared" si="49"/>
        <v>0</v>
      </c>
      <c r="R96">
        <f>$J$9</f>
        <v>1</v>
      </c>
      <c r="S96" t="b">
        <f>_xlfn.XOR(Q96,R96)</f>
        <v>1</v>
      </c>
    </row>
    <row r="98" spans="1:21" ht="13">
      <c r="B98" s="1" t="s">
        <v>182</v>
      </c>
      <c r="E98" s="1" t="s">
        <v>67</v>
      </c>
      <c r="F98" s="1" t="s">
        <v>34</v>
      </c>
      <c r="H98" s="1" t="s">
        <v>183</v>
      </c>
      <c r="K98" s="1" t="s">
        <v>76</v>
      </c>
      <c r="L98" s="1" t="s">
        <v>44</v>
      </c>
      <c r="N98" s="1" t="s">
        <v>184</v>
      </c>
      <c r="Q98" s="1" t="s">
        <v>70</v>
      </c>
      <c r="S98" s="1" t="s">
        <v>102</v>
      </c>
    </row>
    <row r="99" spans="1:21" ht="18">
      <c r="B99" t="b">
        <f>_xlfn.XOR($A94,B94)</f>
        <v>0</v>
      </c>
      <c r="C99" t="b">
        <f>_xlfn.XOR($A95,C94)</f>
        <v>1</v>
      </c>
      <c r="D99" t="b">
        <f>_xlfn.XOR($A96,D94)</f>
        <v>1</v>
      </c>
      <c r="E99">
        <f t="shared" ref="E99:E101" si="50">IF(F99,IF(F94,1,-1),0)</f>
        <v>0</v>
      </c>
      <c r="F99" t="b">
        <f>OR(H102:H103)</f>
        <v>0</v>
      </c>
      <c r="H99" t="b">
        <f>_xlfn.XOR($F94,$H94)</f>
        <v>1</v>
      </c>
      <c r="I99" t="b">
        <f>_xlfn.XOR($F95,$I94)</f>
        <v>1</v>
      </c>
      <c r="J99" t="b">
        <f>_xlfn.XOR($F96,$J94)</f>
        <v>0</v>
      </c>
      <c r="K99">
        <f t="shared" ref="K99:K100" si="51">IF(L99,IF(L94,1,-1),0)</f>
        <v>0</v>
      </c>
      <c r="L99" t="b">
        <f>OR(Q99:Q101)</f>
        <v>0</v>
      </c>
      <c r="N99" t="b">
        <f>_xlfn.XOR($L94,$N94)</f>
        <v>0</v>
      </c>
      <c r="O99" t="b">
        <f>_xlfn.XOR($L95,$O94)</f>
        <v>0</v>
      </c>
      <c r="Q99" t="b">
        <f t="shared" ref="Q99:R101" si="52">AND($S94,(_xlfn.XOR(N99,NOT($Q94))))</f>
        <v>0</v>
      </c>
      <c r="R99" t="b">
        <f t="shared" si="52"/>
        <v>0</v>
      </c>
      <c r="S99" s="22">
        <f t="shared" ref="S99:S101" si="53">IF($S94,IF(Q94,1,-1),0)</f>
        <v>0</v>
      </c>
      <c r="T99" s="1" t="s">
        <v>106</v>
      </c>
    </row>
    <row r="100" spans="1:21" ht="18">
      <c r="B100" t="b">
        <f>_xlfn.XOR($A94,B95)</f>
        <v>1</v>
      </c>
      <c r="C100" t="b">
        <f>_xlfn.XOR($A95,C95)</f>
        <v>1</v>
      </c>
      <c r="D100" t="b">
        <f>_xlfn.XOR($A96,D95)</f>
        <v>1</v>
      </c>
      <c r="E100">
        <f t="shared" si="50"/>
        <v>0</v>
      </c>
      <c r="F100" t="b">
        <f>OR(I102:I103)</f>
        <v>0</v>
      </c>
      <c r="H100" t="b">
        <f>_xlfn.XOR($F94,$H95)</f>
        <v>1</v>
      </c>
      <c r="I100" t="b">
        <f>_xlfn.XOR($F95,$I95)</f>
        <v>1</v>
      </c>
      <c r="J100" t="b">
        <f>_xlfn.XOR($F96,$J95)</f>
        <v>0</v>
      </c>
      <c r="K100">
        <f t="shared" si="51"/>
        <v>-1</v>
      </c>
      <c r="L100" t="b">
        <f>OR(R99:R101)</f>
        <v>1</v>
      </c>
      <c r="N100" t="b">
        <f>_xlfn.XOR($L94,$N95)</f>
        <v>0</v>
      </c>
      <c r="O100" t="b">
        <f>_xlfn.XOR($L95,$O95)</f>
        <v>0</v>
      </c>
      <c r="Q100" t="b">
        <f t="shared" si="52"/>
        <v>0</v>
      </c>
      <c r="R100" t="b">
        <f t="shared" si="52"/>
        <v>0</v>
      </c>
      <c r="S100" s="22">
        <f t="shared" si="53"/>
        <v>0</v>
      </c>
    </row>
    <row r="101" spans="1:21" ht="18">
      <c r="B101" t="b">
        <f>_xlfn.XOR($A94,B96)</f>
        <v>0</v>
      </c>
      <c r="C101" t="b">
        <f>_xlfn.XOR($A95,C96)</f>
        <v>1</v>
      </c>
      <c r="D101" t="b">
        <f>_xlfn.XOR($A96,D96)</f>
        <v>1</v>
      </c>
      <c r="E101">
        <f t="shared" si="50"/>
        <v>-1</v>
      </c>
      <c r="F101" t="b">
        <f>OR(J102:J103)</f>
        <v>1</v>
      </c>
      <c r="H101" s="1" t="s">
        <v>56</v>
      </c>
      <c r="N101" t="b">
        <f>_xlfn.XOR($L94,$N96)</f>
        <v>1</v>
      </c>
      <c r="O101" t="b">
        <f>_xlfn.XOR($L95,$O96)</f>
        <v>0</v>
      </c>
      <c r="Q101" t="b">
        <f t="shared" si="52"/>
        <v>0</v>
      </c>
      <c r="R101" t="b">
        <f t="shared" si="52"/>
        <v>1</v>
      </c>
      <c r="S101" s="22">
        <f t="shared" si="53"/>
        <v>-1</v>
      </c>
    </row>
    <row r="102" spans="1:21" ht="13">
      <c r="B102" s="1" t="s">
        <v>99</v>
      </c>
      <c r="H102" t="b">
        <f t="shared" ref="H102:J103" si="54">AND($L99,(_xlfn.XOR(H99,NOT($L94))))</f>
        <v>0</v>
      </c>
      <c r="I102" t="b">
        <f t="shared" si="54"/>
        <v>0</v>
      </c>
      <c r="J102" t="b">
        <f t="shared" si="54"/>
        <v>0</v>
      </c>
      <c r="U102" s="8" t="s">
        <v>107</v>
      </c>
    </row>
    <row r="103" spans="1:21" ht="13">
      <c r="B103" t="b">
        <f t="shared" ref="B103:D105" si="55">AND($F99,(_xlfn.XOR(B99,NOT($F94))))</f>
        <v>0</v>
      </c>
      <c r="C103" t="b">
        <f t="shared" si="55"/>
        <v>0</v>
      </c>
      <c r="D103" t="b">
        <f t="shared" si="55"/>
        <v>0</v>
      </c>
      <c r="H103" t="b">
        <f t="shared" si="54"/>
        <v>0</v>
      </c>
      <c r="I103" t="b">
        <f t="shared" si="54"/>
        <v>0</v>
      </c>
      <c r="J103" t="b">
        <f t="shared" si="54"/>
        <v>1</v>
      </c>
      <c r="U103" s="8" t="s">
        <v>108</v>
      </c>
    </row>
    <row r="104" spans="1:21" ht="13">
      <c r="A104" s="2"/>
      <c r="B104" t="b">
        <f t="shared" si="55"/>
        <v>0</v>
      </c>
      <c r="C104" t="b">
        <f t="shared" si="55"/>
        <v>0</v>
      </c>
      <c r="D104" t="b">
        <f t="shared" si="55"/>
        <v>0</v>
      </c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U104" s="8" t="s">
        <v>109</v>
      </c>
    </row>
    <row r="105" spans="1:21" ht="13">
      <c r="A105" s="2"/>
      <c r="B105" t="b">
        <f t="shared" si="55"/>
        <v>1</v>
      </c>
      <c r="C105" t="b">
        <f t="shared" si="55"/>
        <v>0</v>
      </c>
      <c r="D105" t="b">
        <f t="shared" si="55"/>
        <v>0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U105" s="8" t="s">
        <v>110</v>
      </c>
    </row>
    <row r="106" spans="1:21" ht="13">
      <c r="U106" s="8" t="s">
        <v>111</v>
      </c>
    </row>
    <row r="107" spans="1:21" ht="13">
      <c r="A107" s="2" t="s">
        <v>26</v>
      </c>
      <c r="B107" s="39" t="s">
        <v>27</v>
      </c>
      <c r="C107" s="38"/>
      <c r="D107" s="38"/>
      <c r="E107" s="2" t="s">
        <v>28</v>
      </c>
      <c r="F107" s="2" t="s">
        <v>29</v>
      </c>
      <c r="G107" s="6"/>
      <c r="H107" s="39" t="s">
        <v>30</v>
      </c>
      <c r="I107" s="38"/>
      <c r="J107" s="38"/>
      <c r="K107" s="2" t="s">
        <v>31</v>
      </c>
      <c r="L107" s="2" t="s">
        <v>37</v>
      </c>
      <c r="N107" s="39" t="s">
        <v>38</v>
      </c>
      <c r="O107" s="38"/>
      <c r="P107" s="2" t="s">
        <v>39</v>
      </c>
      <c r="Q107" s="2" t="s">
        <v>32</v>
      </c>
      <c r="R107" s="2" t="s">
        <v>33</v>
      </c>
      <c r="S107" s="2" t="s">
        <v>34</v>
      </c>
      <c r="U107" s="8" t="s">
        <v>112</v>
      </c>
    </row>
    <row r="108" spans="1:21" ht="13">
      <c r="A108" s="1">
        <f>$D$2</f>
        <v>0</v>
      </c>
      <c r="B108" s="1">
        <v>1</v>
      </c>
      <c r="C108" s="1">
        <v>0</v>
      </c>
      <c r="D108" s="1">
        <v>0</v>
      </c>
      <c r="E108" s="1">
        <v>3</v>
      </c>
      <c r="F108" t="b">
        <f t="shared" ref="F108:F110" si="56">COUNTIF(B113:D113, TRUE)&gt;=E108</f>
        <v>0</v>
      </c>
      <c r="H108" s="1">
        <v>1</v>
      </c>
      <c r="I108" s="1">
        <v>0</v>
      </c>
      <c r="J108" s="1">
        <v>0</v>
      </c>
      <c r="K108" s="1">
        <v>2</v>
      </c>
      <c r="L108" t="b">
        <f t="shared" ref="L108:L109" si="57">COUNTIF(H113:J113, TRUE)&gt;=K108</f>
        <v>0</v>
      </c>
      <c r="N108" s="14">
        <v>1</v>
      </c>
      <c r="O108" s="17">
        <f t="shared" ref="O108:O110" si="58">IF(R99,NOT(O94),O94)</f>
        <v>0</v>
      </c>
      <c r="P108" s="1">
        <v>2</v>
      </c>
      <c r="Q108" t="b">
        <f t="shared" ref="Q108:Q110" si="59">COUNTIF(N113:O113, TRUE)&gt;=P108</f>
        <v>0</v>
      </c>
      <c r="R108">
        <f>$H$2</f>
        <v>0</v>
      </c>
      <c r="S108" t="b">
        <f>_xlfn.XOR(Q108,R108)</f>
        <v>0</v>
      </c>
      <c r="U108" s="8" t="s">
        <v>113</v>
      </c>
    </row>
    <row r="109" spans="1:21" ht="13">
      <c r="A109" s="1">
        <f>$E$2</f>
        <v>0</v>
      </c>
      <c r="B109" s="1">
        <v>0</v>
      </c>
      <c r="C109" s="1">
        <v>0</v>
      </c>
      <c r="D109" s="1">
        <v>0</v>
      </c>
      <c r="E109" s="1">
        <v>2</v>
      </c>
      <c r="F109" t="b">
        <f t="shared" si="56"/>
        <v>0</v>
      </c>
      <c r="H109" s="1">
        <v>1</v>
      </c>
      <c r="I109" s="1">
        <v>0</v>
      </c>
      <c r="J109" s="1">
        <v>0</v>
      </c>
      <c r="K109" s="1">
        <v>3</v>
      </c>
      <c r="L109" t="b">
        <f t="shared" si="57"/>
        <v>0</v>
      </c>
      <c r="N109" s="14">
        <v>1</v>
      </c>
      <c r="O109" s="17">
        <f t="shared" si="58"/>
        <v>0</v>
      </c>
      <c r="P109" s="1">
        <v>1</v>
      </c>
      <c r="Q109" t="b">
        <f t="shared" si="59"/>
        <v>1</v>
      </c>
      <c r="R109">
        <f>$I$2</f>
        <v>0</v>
      </c>
      <c r="S109" t="b">
        <f>_xlfn.XOR(Q109,R109)</f>
        <v>1</v>
      </c>
      <c r="U109" s="8" t="s">
        <v>114</v>
      </c>
    </row>
    <row r="110" spans="1:21" ht="13">
      <c r="A110">
        <f>$F$2</f>
        <v>0</v>
      </c>
      <c r="B110" s="1">
        <v>1</v>
      </c>
      <c r="C110" s="1">
        <v>0</v>
      </c>
      <c r="D110" s="1">
        <v>0</v>
      </c>
      <c r="E110" s="1">
        <v>3</v>
      </c>
      <c r="F110" t="b">
        <f t="shared" si="56"/>
        <v>0</v>
      </c>
      <c r="N110" s="14">
        <v>0</v>
      </c>
      <c r="O110" s="17" t="b">
        <f t="shared" si="58"/>
        <v>1</v>
      </c>
      <c r="P110" s="1">
        <v>2</v>
      </c>
      <c r="Q110" t="b">
        <f t="shared" si="59"/>
        <v>0</v>
      </c>
      <c r="R110">
        <f>$J$2</f>
        <v>0</v>
      </c>
      <c r="S110" t="b">
        <f>_xlfn.XOR(Q110,R110)</f>
        <v>0</v>
      </c>
      <c r="U110" s="8" t="s">
        <v>115</v>
      </c>
    </row>
    <row r="112" spans="1:21" ht="13">
      <c r="B112" s="1" t="s">
        <v>182</v>
      </c>
      <c r="E112" s="1" t="s">
        <v>67</v>
      </c>
      <c r="F112" s="1" t="s">
        <v>34</v>
      </c>
      <c r="H112" s="1" t="s">
        <v>183</v>
      </c>
      <c r="K112" s="1" t="s">
        <v>76</v>
      </c>
      <c r="L112" s="1" t="s">
        <v>44</v>
      </c>
      <c r="N112" s="1" t="s">
        <v>184</v>
      </c>
      <c r="Q112" s="1" t="s">
        <v>70</v>
      </c>
      <c r="S112" s="1" t="s">
        <v>102</v>
      </c>
    </row>
    <row r="113" spans="1:23" ht="18">
      <c r="B113" t="b">
        <f>_xlfn.XOR($A108,B108)</f>
        <v>1</v>
      </c>
      <c r="C113" t="b">
        <f>_xlfn.XOR($A109,C108)</f>
        <v>0</v>
      </c>
      <c r="D113" t="b">
        <f>_xlfn.XOR($A110,D108)</f>
        <v>0</v>
      </c>
      <c r="E113">
        <f t="shared" ref="E113:E115" si="60">IF(F113,IF(F108,1,-1),0)</f>
        <v>0</v>
      </c>
      <c r="F113" t="b">
        <f>OR(H116:H117)</f>
        <v>0</v>
      </c>
      <c r="H113" t="b">
        <f>_xlfn.XOR($F108,$H108)</f>
        <v>1</v>
      </c>
      <c r="I113" t="b">
        <f>_xlfn.XOR($F109,$I108)</f>
        <v>0</v>
      </c>
      <c r="J113" t="b">
        <f>_xlfn.XOR($F110,$J108)</f>
        <v>0</v>
      </c>
      <c r="K113">
        <f t="shared" ref="K113:K114" si="61">IF(L113,IF(L108,1,-1),0)</f>
        <v>-1</v>
      </c>
      <c r="L113" t="b">
        <f>OR(Q113:Q115)</f>
        <v>1</v>
      </c>
      <c r="N113" t="b">
        <f>_xlfn.XOR($L108,$N108)</f>
        <v>1</v>
      </c>
      <c r="O113" t="b">
        <f>_xlfn.XOR($L109,$O108)</f>
        <v>0</v>
      </c>
      <c r="Q113" t="b">
        <f t="shared" ref="Q113:R115" si="62">AND($S108,(_xlfn.XOR(N113,NOT($Q108))))</f>
        <v>0</v>
      </c>
      <c r="R113" t="b">
        <f t="shared" si="62"/>
        <v>0</v>
      </c>
      <c r="S113" s="22">
        <f t="shared" ref="S113:S115" si="63">IF($S108,IF(Q108,1,-1),0)</f>
        <v>0</v>
      </c>
      <c r="T113" s="1" t="s">
        <v>116</v>
      </c>
    </row>
    <row r="114" spans="1:23" ht="18">
      <c r="B114" t="b">
        <f>_xlfn.XOR($A108,B109)</f>
        <v>0</v>
      </c>
      <c r="C114" t="b">
        <f>_xlfn.XOR($A109,C109)</f>
        <v>0</v>
      </c>
      <c r="D114" t="b">
        <f>_xlfn.XOR($A110,D109)</f>
        <v>0</v>
      </c>
      <c r="E114">
        <f t="shared" si="60"/>
        <v>-1</v>
      </c>
      <c r="F114" t="b">
        <f>OR(I116:I117)</f>
        <v>1</v>
      </c>
      <c r="H114" t="b">
        <f>_xlfn.XOR($F108,$H109)</f>
        <v>1</v>
      </c>
      <c r="I114" t="b">
        <f>_xlfn.XOR($F109,$I109)</f>
        <v>0</v>
      </c>
      <c r="J114" t="b">
        <f>_xlfn.XOR($F110,$J109)</f>
        <v>0</v>
      </c>
      <c r="K114">
        <f t="shared" si="61"/>
        <v>0</v>
      </c>
      <c r="L114" t="b">
        <f>OR(R113:R115)</f>
        <v>0</v>
      </c>
      <c r="N114" t="b">
        <f>_xlfn.XOR($L108,$N109)</f>
        <v>1</v>
      </c>
      <c r="O114" t="b">
        <f>_xlfn.XOR($L109,$O109)</f>
        <v>0</v>
      </c>
      <c r="Q114" t="b">
        <f t="shared" si="62"/>
        <v>1</v>
      </c>
      <c r="R114" t="b">
        <f t="shared" si="62"/>
        <v>0</v>
      </c>
      <c r="S114" s="22">
        <f t="shared" si="63"/>
        <v>1</v>
      </c>
    </row>
    <row r="115" spans="1:23" ht="18">
      <c r="B115" t="b">
        <f>_xlfn.XOR($A108,B110)</f>
        <v>1</v>
      </c>
      <c r="C115" t="b">
        <f>_xlfn.XOR($A109,C110)</f>
        <v>0</v>
      </c>
      <c r="D115" t="b">
        <f>_xlfn.XOR($A110,D110)</f>
        <v>0</v>
      </c>
      <c r="E115">
        <f t="shared" si="60"/>
        <v>-1</v>
      </c>
      <c r="F115" t="b">
        <f>OR(J116:J117)</f>
        <v>1</v>
      </c>
      <c r="H115" s="1" t="s">
        <v>56</v>
      </c>
      <c r="N115" t="b">
        <f>_xlfn.XOR($L108,$N110)</f>
        <v>0</v>
      </c>
      <c r="O115" t="b">
        <f>_xlfn.XOR($L109,$O110)</f>
        <v>1</v>
      </c>
      <c r="Q115" t="b">
        <f t="shared" si="62"/>
        <v>0</v>
      </c>
      <c r="R115" t="b">
        <f t="shared" si="62"/>
        <v>0</v>
      </c>
      <c r="S115" s="22">
        <f t="shared" si="63"/>
        <v>0</v>
      </c>
    </row>
    <row r="116" spans="1:23" ht="13">
      <c r="B116" s="1" t="s">
        <v>99</v>
      </c>
      <c r="H116" t="b">
        <f t="shared" ref="H116:J117" si="64">AND($L113,(_xlfn.XOR(H113,NOT($L108))))</f>
        <v>0</v>
      </c>
      <c r="I116" t="b">
        <f t="shared" si="64"/>
        <v>1</v>
      </c>
      <c r="J116" t="b">
        <f t="shared" si="64"/>
        <v>1</v>
      </c>
    </row>
    <row r="117" spans="1:23" ht="13">
      <c r="B117" t="b">
        <f t="shared" ref="B117:D119" si="65">AND($F113,(_xlfn.XOR(B113,NOT($F108))))</f>
        <v>0</v>
      </c>
      <c r="C117" t="b">
        <f t="shared" si="65"/>
        <v>0</v>
      </c>
      <c r="D117" t="b">
        <f t="shared" si="65"/>
        <v>0</v>
      </c>
      <c r="H117" t="b">
        <f t="shared" si="64"/>
        <v>0</v>
      </c>
      <c r="I117" t="b">
        <f t="shared" si="64"/>
        <v>0</v>
      </c>
      <c r="J117" t="b">
        <f t="shared" si="64"/>
        <v>0</v>
      </c>
    </row>
    <row r="118" spans="1:23" ht="13">
      <c r="A118" s="2"/>
      <c r="B118" t="b">
        <f t="shared" si="65"/>
        <v>1</v>
      </c>
      <c r="C118" t="b">
        <f t="shared" si="65"/>
        <v>1</v>
      </c>
      <c r="D118" t="b">
        <f t="shared" si="65"/>
        <v>1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</row>
    <row r="119" spans="1:23" ht="13">
      <c r="A119" s="2"/>
      <c r="B119" t="b">
        <f t="shared" si="65"/>
        <v>0</v>
      </c>
      <c r="C119" t="b">
        <f t="shared" si="65"/>
        <v>1</v>
      </c>
      <c r="D119" t="b">
        <f t="shared" si="65"/>
        <v>1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</row>
    <row r="120" spans="1:23" ht="13">
      <c r="B120" s="4"/>
      <c r="C120" s="4"/>
      <c r="D120" s="4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</row>
    <row r="121" spans="1:23" ht="13">
      <c r="A121" s="2" t="s">
        <v>42</v>
      </c>
      <c r="B121" s="39" t="s">
        <v>27</v>
      </c>
      <c r="C121" s="38"/>
      <c r="D121" s="38"/>
      <c r="E121" s="2" t="s">
        <v>28</v>
      </c>
      <c r="F121" s="2" t="s">
        <v>29</v>
      </c>
      <c r="G121" s="6"/>
      <c r="H121" s="39" t="s">
        <v>30</v>
      </c>
      <c r="I121" s="38"/>
      <c r="J121" s="38"/>
      <c r="K121" s="2" t="s">
        <v>31</v>
      </c>
      <c r="L121" s="2" t="s">
        <v>37</v>
      </c>
      <c r="N121" s="39" t="s">
        <v>38</v>
      </c>
      <c r="O121" s="38"/>
      <c r="P121" s="2" t="s">
        <v>39</v>
      </c>
      <c r="Q121" s="2" t="s">
        <v>32</v>
      </c>
      <c r="R121" s="2" t="s">
        <v>43</v>
      </c>
      <c r="S121" s="2" t="s">
        <v>34</v>
      </c>
      <c r="T121" s="18"/>
      <c r="U121" s="18"/>
      <c r="V121" s="18"/>
      <c r="W121" s="18"/>
    </row>
    <row r="122" spans="1:23" ht="13">
      <c r="A122" s="1">
        <f>$D$3</f>
        <v>0</v>
      </c>
      <c r="B122" s="1">
        <v>1</v>
      </c>
      <c r="C122" s="1">
        <v>0</v>
      </c>
      <c r="D122" s="1">
        <v>0</v>
      </c>
      <c r="E122" s="1">
        <v>3</v>
      </c>
      <c r="F122" t="b">
        <f t="shared" ref="F122:F124" si="66">COUNTIF(B127:D127, TRUE)&gt;=E122</f>
        <v>0</v>
      </c>
      <c r="H122" s="1">
        <v>1</v>
      </c>
      <c r="I122" s="1">
        <v>0</v>
      </c>
      <c r="J122" s="1">
        <v>0</v>
      </c>
      <c r="K122" s="24">
        <f>K108+K113</f>
        <v>1</v>
      </c>
      <c r="L122" t="b">
        <f t="shared" ref="L122:L123" si="67">COUNTIF(H127:J127, TRUE)&gt;=K122</f>
        <v>1</v>
      </c>
      <c r="N122" s="14">
        <v>1</v>
      </c>
      <c r="O122" s="1">
        <v>0</v>
      </c>
      <c r="P122" s="1">
        <v>2</v>
      </c>
      <c r="Q122" t="b">
        <f t="shared" ref="Q122:Q124" si="68">COUNTIF(N127:O127, TRUE)&gt;=P122</f>
        <v>0</v>
      </c>
      <c r="R122">
        <f>$H$3</f>
        <v>1</v>
      </c>
      <c r="S122" t="b">
        <f>_xlfn.XOR(Q122,R122)</f>
        <v>1</v>
      </c>
      <c r="T122" s="18"/>
      <c r="U122" s="19"/>
      <c r="V122" s="5"/>
      <c r="W122" s="19"/>
    </row>
    <row r="123" spans="1:23" ht="13">
      <c r="A123" s="1">
        <f>$E$3</f>
        <v>1</v>
      </c>
      <c r="B123" s="1">
        <v>0</v>
      </c>
      <c r="C123" s="1">
        <v>0</v>
      </c>
      <c r="D123" s="1">
        <v>0</v>
      </c>
      <c r="E123" s="1">
        <v>2</v>
      </c>
      <c r="F123" t="b">
        <f t="shared" si="66"/>
        <v>0</v>
      </c>
      <c r="H123" s="1">
        <v>1</v>
      </c>
      <c r="I123" s="1">
        <v>0</v>
      </c>
      <c r="J123" s="1">
        <v>0</v>
      </c>
      <c r="K123" s="1">
        <v>3</v>
      </c>
      <c r="L123" t="b">
        <f t="shared" si="67"/>
        <v>0</v>
      </c>
      <c r="N123" s="14">
        <v>1</v>
      </c>
      <c r="O123" s="1">
        <v>0</v>
      </c>
      <c r="P123" s="1">
        <v>1</v>
      </c>
      <c r="Q123" t="b">
        <f t="shared" si="68"/>
        <v>0</v>
      </c>
      <c r="R123">
        <f>$I$3</f>
        <v>1</v>
      </c>
      <c r="S123" t="b">
        <f>_xlfn.XOR(Q123,R123)</f>
        <v>1</v>
      </c>
      <c r="T123" s="18"/>
      <c r="U123" s="19"/>
      <c r="V123" s="4"/>
      <c r="W123" s="19"/>
    </row>
    <row r="124" spans="1:23" ht="13">
      <c r="A124">
        <f>$F$3</f>
        <v>0</v>
      </c>
      <c r="B124" s="1">
        <v>1</v>
      </c>
      <c r="C124" s="1">
        <v>0</v>
      </c>
      <c r="D124" s="1">
        <v>0</v>
      </c>
      <c r="E124" s="1">
        <v>3</v>
      </c>
      <c r="F124" t="b">
        <f t="shared" si="66"/>
        <v>0</v>
      </c>
      <c r="N124" s="14">
        <v>0</v>
      </c>
      <c r="O124" s="1">
        <v>1</v>
      </c>
      <c r="P124" s="1">
        <v>2</v>
      </c>
      <c r="Q124" t="b">
        <f t="shared" si="68"/>
        <v>1</v>
      </c>
      <c r="R124">
        <f>$J$3</f>
        <v>0</v>
      </c>
      <c r="S124" t="b">
        <f>_xlfn.XOR(Q124,R124)</f>
        <v>1</v>
      </c>
      <c r="T124" s="18"/>
      <c r="U124" s="19"/>
      <c r="V124" s="5"/>
      <c r="W124" s="19"/>
    </row>
    <row r="125" spans="1:23" ht="13">
      <c r="T125" s="18"/>
      <c r="U125" s="19"/>
      <c r="V125" s="4"/>
      <c r="W125" s="19"/>
    </row>
    <row r="126" spans="1:23" ht="13">
      <c r="B126" s="1" t="s">
        <v>182</v>
      </c>
      <c r="E126" s="1" t="s">
        <v>67</v>
      </c>
      <c r="F126" s="1" t="s">
        <v>34</v>
      </c>
      <c r="H126" s="1" t="s">
        <v>183</v>
      </c>
      <c r="K126" s="1" t="s">
        <v>76</v>
      </c>
      <c r="L126" s="1" t="s">
        <v>44</v>
      </c>
      <c r="N126" s="1" t="s">
        <v>184</v>
      </c>
      <c r="Q126" s="1" t="s">
        <v>70</v>
      </c>
      <c r="S126" s="1" t="s">
        <v>102</v>
      </c>
      <c r="T126" s="18"/>
      <c r="U126" s="18"/>
      <c r="V126" s="18"/>
      <c r="W126" s="18"/>
    </row>
    <row r="127" spans="1:23" ht="18">
      <c r="B127" t="b">
        <f>_xlfn.XOR($A122,B122)</f>
        <v>1</v>
      </c>
      <c r="C127" t="b">
        <f>_xlfn.XOR($A123,C122)</f>
        <v>1</v>
      </c>
      <c r="D127" t="b">
        <f>_xlfn.XOR($A124,D122)</f>
        <v>0</v>
      </c>
      <c r="E127">
        <f t="shared" ref="E127:E129" si="69">IF(F127,IF(F122,1,-1),0)</f>
        <v>-1</v>
      </c>
      <c r="F127" t="b">
        <f>OR(H130:H131)</f>
        <v>1</v>
      </c>
      <c r="H127" t="b">
        <f>_xlfn.XOR($F122,$H122)</f>
        <v>1</v>
      </c>
      <c r="I127" t="b">
        <f>_xlfn.XOR($F123,$I122)</f>
        <v>0</v>
      </c>
      <c r="J127" t="b">
        <f>_xlfn.XOR($F124,$J122)</f>
        <v>0</v>
      </c>
      <c r="K127">
        <f t="shared" ref="K127:K128" si="70">IF(L127,IF(L122,1,-1),0)</f>
        <v>1</v>
      </c>
      <c r="L127" t="b">
        <f>OR(Q127:Q129)</f>
        <v>1</v>
      </c>
      <c r="N127" t="b">
        <f>_xlfn.XOR($L122,$N122)</f>
        <v>0</v>
      </c>
      <c r="O127" t="b">
        <f>_xlfn.XOR($L123,$O122)</f>
        <v>0</v>
      </c>
      <c r="Q127" t="b">
        <f t="shared" ref="Q127:R129" si="71">AND($S122,(_xlfn.XOR(N127,NOT($Q122))))</f>
        <v>1</v>
      </c>
      <c r="R127" t="b">
        <f t="shared" si="71"/>
        <v>1</v>
      </c>
      <c r="S127" s="22">
        <f t="shared" ref="S127:S129" si="72">IF($S122,IF(Q122,1,-1),0)</f>
        <v>-1</v>
      </c>
      <c r="T127" s="1" t="s">
        <v>117</v>
      </c>
      <c r="U127" s="5"/>
      <c r="V127" s="18"/>
      <c r="W127" s="19"/>
    </row>
    <row r="128" spans="1:23" ht="18">
      <c r="B128" t="b">
        <f>_xlfn.XOR($A122,B123)</f>
        <v>0</v>
      </c>
      <c r="C128" t="b">
        <f>_xlfn.XOR($A123,C123)</f>
        <v>1</v>
      </c>
      <c r="D128" t="b">
        <f>_xlfn.XOR($A124,D123)</f>
        <v>0</v>
      </c>
      <c r="E128">
        <f t="shared" si="69"/>
        <v>-1</v>
      </c>
      <c r="F128" t="b">
        <f>OR(I130:I131)</f>
        <v>1</v>
      </c>
      <c r="H128" t="b">
        <f>_xlfn.XOR($F122,$H123)</f>
        <v>1</v>
      </c>
      <c r="I128" t="b">
        <f>_xlfn.XOR($F123,$I123)</f>
        <v>0</v>
      </c>
      <c r="J128" t="b">
        <f>_xlfn.XOR($F124,$J123)</f>
        <v>0</v>
      </c>
      <c r="K128">
        <f t="shared" si="70"/>
        <v>-1</v>
      </c>
      <c r="L128" t="b">
        <f>OR(R127:R129)</f>
        <v>1</v>
      </c>
      <c r="N128" t="b">
        <f>_xlfn.XOR($L122,$N123)</f>
        <v>0</v>
      </c>
      <c r="O128" t="b">
        <f>_xlfn.XOR($L123,$O123)</f>
        <v>0</v>
      </c>
      <c r="Q128" t="b">
        <f t="shared" si="71"/>
        <v>1</v>
      </c>
      <c r="R128" t="b">
        <f t="shared" si="71"/>
        <v>1</v>
      </c>
      <c r="S128" s="22">
        <f t="shared" si="72"/>
        <v>-1</v>
      </c>
      <c r="T128" s="18"/>
      <c r="U128" s="5"/>
      <c r="V128" s="18"/>
      <c r="W128" s="19"/>
    </row>
    <row r="129" spans="1:23" ht="18">
      <c r="B129" t="b">
        <f>_xlfn.XOR($A122,B124)</f>
        <v>1</v>
      </c>
      <c r="C129" t="b">
        <f>_xlfn.XOR($A123,C124)</f>
        <v>1</v>
      </c>
      <c r="D129" t="b">
        <f>_xlfn.XOR($A124,D124)</f>
        <v>0</v>
      </c>
      <c r="E129">
        <f t="shared" si="69"/>
        <v>-1</v>
      </c>
      <c r="F129" t="b">
        <f>OR(J130:J131)</f>
        <v>1</v>
      </c>
      <c r="H129" s="1" t="s">
        <v>56</v>
      </c>
      <c r="N129" t="b">
        <f>_xlfn.XOR($L122,$N124)</f>
        <v>1</v>
      </c>
      <c r="O129" t="b">
        <f>_xlfn.XOR($L123,$O124)</f>
        <v>1</v>
      </c>
      <c r="Q129" t="b">
        <f t="shared" si="71"/>
        <v>1</v>
      </c>
      <c r="R129" t="b">
        <f t="shared" si="71"/>
        <v>1</v>
      </c>
      <c r="S129" s="22">
        <f t="shared" si="72"/>
        <v>1</v>
      </c>
      <c r="T129" s="18"/>
      <c r="U129" s="5"/>
      <c r="V129" s="18"/>
      <c r="W129" s="19"/>
    </row>
    <row r="130" spans="1:23" ht="13">
      <c r="B130" s="1" t="s">
        <v>99</v>
      </c>
      <c r="H130" t="b">
        <f t="shared" ref="H130:J131" si="73">AND($L127,(_xlfn.XOR(H127,NOT($L122))))</f>
        <v>1</v>
      </c>
      <c r="I130" t="b">
        <f t="shared" si="73"/>
        <v>0</v>
      </c>
      <c r="J130" t="b">
        <f t="shared" si="73"/>
        <v>0</v>
      </c>
      <c r="T130" s="18"/>
      <c r="U130" s="5"/>
      <c r="V130" s="18"/>
      <c r="W130" s="19"/>
    </row>
    <row r="131" spans="1:23" ht="13">
      <c r="B131" t="b">
        <f t="shared" ref="B131:D133" si="74">AND($F127,(_xlfn.XOR(B127,NOT($F122))))</f>
        <v>0</v>
      </c>
      <c r="C131" t="b">
        <f t="shared" si="74"/>
        <v>0</v>
      </c>
      <c r="D131" t="b">
        <f t="shared" si="74"/>
        <v>1</v>
      </c>
      <c r="H131" t="b">
        <f t="shared" si="73"/>
        <v>0</v>
      </c>
      <c r="I131" t="b">
        <f t="shared" si="73"/>
        <v>1</v>
      </c>
      <c r="J131" t="b">
        <f t="shared" si="73"/>
        <v>1</v>
      </c>
      <c r="T131" s="18"/>
      <c r="U131" s="8"/>
      <c r="V131" s="18"/>
      <c r="W131" s="18"/>
    </row>
    <row r="132" spans="1:23" ht="13">
      <c r="A132" s="2"/>
      <c r="B132" t="b">
        <f t="shared" si="74"/>
        <v>1</v>
      </c>
      <c r="C132" t="b">
        <f t="shared" si="74"/>
        <v>0</v>
      </c>
      <c r="D132" t="b">
        <f t="shared" si="74"/>
        <v>1</v>
      </c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18"/>
      <c r="U132" s="8"/>
      <c r="V132" s="18"/>
      <c r="W132" s="18"/>
    </row>
    <row r="133" spans="1:23" ht="13">
      <c r="A133" s="2"/>
      <c r="B133" t="b">
        <f t="shared" si="74"/>
        <v>0</v>
      </c>
      <c r="C133" t="b">
        <f t="shared" si="74"/>
        <v>0</v>
      </c>
      <c r="D133" t="b">
        <f t="shared" si="74"/>
        <v>1</v>
      </c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18"/>
      <c r="U133" s="8"/>
      <c r="V133" s="18"/>
      <c r="W133" s="18"/>
    </row>
    <row r="134" spans="1:23" ht="13">
      <c r="U134" s="8"/>
    </row>
    <row r="135" spans="1:23" ht="13">
      <c r="A135" s="2" t="s">
        <v>64</v>
      </c>
      <c r="B135" s="39" t="s">
        <v>27</v>
      </c>
      <c r="C135" s="38"/>
      <c r="D135" s="38"/>
      <c r="E135" s="2" t="s">
        <v>28</v>
      </c>
      <c r="F135" s="2" t="s">
        <v>29</v>
      </c>
      <c r="G135" s="6"/>
      <c r="H135" s="39" t="s">
        <v>30</v>
      </c>
      <c r="I135" s="38"/>
      <c r="J135" s="38"/>
      <c r="K135" s="2" t="s">
        <v>31</v>
      </c>
      <c r="L135" s="2" t="s">
        <v>37</v>
      </c>
      <c r="N135" s="39" t="s">
        <v>38</v>
      </c>
      <c r="O135" s="38"/>
      <c r="P135" s="2" t="s">
        <v>39</v>
      </c>
      <c r="Q135" s="2" t="s">
        <v>32</v>
      </c>
      <c r="R135" s="2" t="s">
        <v>65</v>
      </c>
      <c r="S135" s="2" t="s">
        <v>34</v>
      </c>
      <c r="T135" s="18"/>
      <c r="U135" s="8"/>
      <c r="V135" s="18"/>
      <c r="W135" s="18"/>
    </row>
    <row r="136" spans="1:23" ht="13">
      <c r="A136" s="1">
        <f>$D$4</f>
        <v>1</v>
      </c>
      <c r="B136" s="1">
        <v>1</v>
      </c>
      <c r="C136" s="1">
        <v>0</v>
      </c>
      <c r="D136" s="1">
        <v>0</v>
      </c>
      <c r="E136" s="1">
        <v>3</v>
      </c>
      <c r="F136" t="b">
        <f t="shared" ref="F136:F138" si="75">COUNTIF(B141:D141, TRUE)&gt;=E136</f>
        <v>0</v>
      </c>
      <c r="H136" s="1">
        <v>1</v>
      </c>
      <c r="I136" s="17">
        <f t="shared" ref="I136:I137" si="76">IF(I130,NOT(I122),I122)</f>
        <v>0</v>
      </c>
      <c r="J136" s="1">
        <v>0</v>
      </c>
      <c r="K136" s="1">
        <v>1</v>
      </c>
      <c r="L136" t="b">
        <f t="shared" ref="L136:L137" si="77">COUNTIF(H141:J141, TRUE)&gt;=K136</f>
        <v>1</v>
      </c>
      <c r="N136" s="14">
        <v>1</v>
      </c>
      <c r="O136" s="1">
        <v>0</v>
      </c>
      <c r="P136" s="1">
        <v>2</v>
      </c>
      <c r="Q136" t="b">
        <f t="shared" ref="Q136:Q138" si="78">COUNTIF(N141:O141, TRUE)&gt;=P136</f>
        <v>0</v>
      </c>
      <c r="R136">
        <f>$H$4</f>
        <v>1</v>
      </c>
      <c r="S136" t="b">
        <f>_xlfn.XOR(Q136,R136)</f>
        <v>1</v>
      </c>
      <c r="T136" s="18"/>
      <c r="U136" s="8"/>
      <c r="V136" s="18"/>
      <c r="W136" s="18"/>
    </row>
    <row r="137" spans="1:23" ht="13">
      <c r="A137" s="1">
        <f>$E$4</f>
        <v>0</v>
      </c>
      <c r="B137" s="1">
        <v>0</v>
      </c>
      <c r="C137" s="1">
        <v>0</v>
      </c>
      <c r="D137" s="1">
        <v>0</v>
      </c>
      <c r="E137" s="1">
        <v>2</v>
      </c>
      <c r="F137" t="b">
        <f t="shared" si="75"/>
        <v>0</v>
      </c>
      <c r="H137" s="1">
        <v>1</v>
      </c>
      <c r="I137" s="17" t="b">
        <f t="shared" si="76"/>
        <v>1</v>
      </c>
      <c r="J137" s="1">
        <v>0</v>
      </c>
      <c r="K137" s="1">
        <v>3</v>
      </c>
      <c r="L137" t="b">
        <f t="shared" si="77"/>
        <v>0</v>
      </c>
      <c r="N137" s="14">
        <v>1</v>
      </c>
      <c r="O137" s="1">
        <v>0</v>
      </c>
      <c r="P137" s="1">
        <v>1</v>
      </c>
      <c r="Q137" t="b">
        <f t="shared" si="78"/>
        <v>0</v>
      </c>
      <c r="R137">
        <f>$I$4</f>
        <v>1</v>
      </c>
      <c r="S137" t="b">
        <f>_xlfn.XOR(Q137,R137)</f>
        <v>1</v>
      </c>
      <c r="T137" s="18"/>
      <c r="U137" s="8"/>
      <c r="V137" s="5"/>
      <c r="W137" s="19"/>
    </row>
    <row r="138" spans="1:23" ht="13">
      <c r="A138">
        <f>$F$4</f>
        <v>0</v>
      </c>
      <c r="B138" s="1">
        <v>1</v>
      </c>
      <c r="C138" s="1">
        <v>0</v>
      </c>
      <c r="D138" s="1">
        <v>0</v>
      </c>
      <c r="E138" s="1">
        <v>3</v>
      </c>
      <c r="F138" t="b">
        <f t="shared" si="75"/>
        <v>0</v>
      </c>
      <c r="N138" s="14">
        <v>0</v>
      </c>
      <c r="O138" s="1">
        <v>1</v>
      </c>
      <c r="P138" s="1">
        <v>2</v>
      </c>
      <c r="Q138" t="b">
        <f t="shared" si="78"/>
        <v>1</v>
      </c>
      <c r="R138">
        <f>$J$4</f>
        <v>1</v>
      </c>
      <c r="S138" t="b">
        <f>_xlfn.XOR(Q138,R138)</f>
        <v>0</v>
      </c>
      <c r="T138" s="18"/>
      <c r="U138" s="8"/>
      <c r="V138" s="4"/>
      <c r="W138" s="19"/>
    </row>
    <row r="139" spans="1:23" ht="13">
      <c r="T139" s="18"/>
      <c r="U139" s="8"/>
      <c r="V139" s="5"/>
      <c r="W139" s="19"/>
    </row>
    <row r="140" spans="1:23" ht="13">
      <c r="B140" s="1" t="s">
        <v>182</v>
      </c>
      <c r="E140" s="1" t="s">
        <v>67</v>
      </c>
      <c r="F140" s="1" t="s">
        <v>34</v>
      </c>
      <c r="H140" s="1" t="s">
        <v>183</v>
      </c>
      <c r="K140" s="1" t="s">
        <v>76</v>
      </c>
      <c r="L140" s="1" t="s">
        <v>44</v>
      </c>
      <c r="N140" s="1" t="s">
        <v>184</v>
      </c>
      <c r="Q140" s="1" t="s">
        <v>70</v>
      </c>
      <c r="S140" s="1" t="s">
        <v>102</v>
      </c>
      <c r="T140" s="18"/>
      <c r="U140" s="19"/>
      <c r="V140" s="4"/>
      <c r="W140" s="19"/>
    </row>
    <row r="141" spans="1:23" ht="18">
      <c r="B141" t="b">
        <f>_xlfn.XOR($A136,B136)</f>
        <v>0</v>
      </c>
      <c r="C141" t="b">
        <f>_xlfn.XOR($A137,C136)</f>
        <v>0</v>
      </c>
      <c r="D141" t="b">
        <f>_xlfn.XOR($A138,D136)</f>
        <v>0</v>
      </c>
      <c r="E141">
        <f t="shared" ref="E141:E143" si="79">IF(F141,IF(F136,1,-1),0)</f>
        <v>-1</v>
      </c>
      <c r="F141" t="b">
        <f>OR(H144:H145)</f>
        <v>1</v>
      </c>
      <c r="H141" t="b">
        <f>_xlfn.XOR($F136,$H136)</f>
        <v>1</v>
      </c>
      <c r="I141" t="b">
        <f>_xlfn.XOR($F137,$I136)</f>
        <v>0</v>
      </c>
      <c r="J141" t="b">
        <f>_xlfn.XOR($F138,$J136)</f>
        <v>0</v>
      </c>
      <c r="K141">
        <f t="shared" ref="K141:K142" si="80">IF(L141,IF(L136,1,-1),0)</f>
        <v>1</v>
      </c>
      <c r="L141" t="b">
        <f>OR(Q141:Q143)</f>
        <v>1</v>
      </c>
      <c r="N141" t="b">
        <f>_xlfn.XOR($L136,$N136)</f>
        <v>0</v>
      </c>
      <c r="O141" t="b">
        <f>_xlfn.XOR($L137,$O136)</f>
        <v>0</v>
      </c>
      <c r="Q141" t="b">
        <f t="shared" ref="Q141:R143" si="81">AND($S136,(_xlfn.XOR(N141,NOT($Q136))))</f>
        <v>1</v>
      </c>
      <c r="R141" t="b">
        <f t="shared" si="81"/>
        <v>1</v>
      </c>
      <c r="S141" s="22">
        <f t="shared" ref="S141:S143" si="82">IF($S136,IF(Q136,1,-1),0)</f>
        <v>-1</v>
      </c>
      <c r="T141" s="1" t="s">
        <v>122</v>
      </c>
      <c r="U141" s="18"/>
      <c r="V141" s="18"/>
      <c r="W141" s="18"/>
    </row>
    <row r="142" spans="1:23" ht="18">
      <c r="B142" t="b">
        <f>_xlfn.XOR($A136,B137)</f>
        <v>1</v>
      </c>
      <c r="C142" t="b">
        <f>_xlfn.XOR($A137,C137)</f>
        <v>0</v>
      </c>
      <c r="D142" t="b">
        <f>_xlfn.XOR($A138,D137)</f>
        <v>0</v>
      </c>
      <c r="E142">
        <f t="shared" si="79"/>
        <v>0</v>
      </c>
      <c r="F142" t="b">
        <f>OR(I144:I145)</f>
        <v>0</v>
      </c>
      <c r="H142" t="b">
        <f>_xlfn.XOR($F136,$H137)</f>
        <v>1</v>
      </c>
      <c r="I142" t="b">
        <f>_xlfn.XOR($F137,$I137)</f>
        <v>1</v>
      </c>
      <c r="J142" t="b">
        <f>_xlfn.XOR($F138,$J137)</f>
        <v>0</v>
      </c>
      <c r="K142">
        <f t="shared" si="80"/>
        <v>-1</v>
      </c>
      <c r="L142" t="b">
        <f>OR(R141:R143)</f>
        <v>1</v>
      </c>
      <c r="N142" t="b">
        <f>_xlfn.XOR($L136,$N137)</f>
        <v>0</v>
      </c>
      <c r="O142" t="b">
        <f>_xlfn.XOR($L137,$O137)</f>
        <v>0</v>
      </c>
      <c r="Q142" t="b">
        <f t="shared" si="81"/>
        <v>1</v>
      </c>
      <c r="R142" t="b">
        <f t="shared" si="81"/>
        <v>1</v>
      </c>
      <c r="S142" s="22">
        <f t="shared" si="82"/>
        <v>-1</v>
      </c>
      <c r="T142" s="18"/>
      <c r="U142" s="5"/>
      <c r="V142" s="18"/>
      <c r="W142" s="19"/>
    </row>
    <row r="143" spans="1:23" ht="18">
      <c r="B143" t="b">
        <f>_xlfn.XOR($A136,B138)</f>
        <v>0</v>
      </c>
      <c r="C143" t="b">
        <f>_xlfn.XOR($A137,C138)</f>
        <v>0</v>
      </c>
      <c r="D143" t="b">
        <f>_xlfn.XOR($A138,D138)</f>
        <v>0</v>
      </c>
      <c r="E143">
        <f t="shared" si="79"/>
        <v>-1</v>
      </c>
      <c r="F143" t="b">
        <f>OR(J144:J145)</f>
        <v>1</v>
      </c>
      <c r="H143" s="1" t="s">
        <v>56</v>
      </c>
      <c r="N143" t="b">
        <f>_xlfn.XOR($L136,$N138)</f>
        <v>1</v>
      </c>
      <c r="O143" t="b">
        <f>_xlfn.XOR($L137,$O138)</f>
        <v>1</v>
      </c>
      <c r="Q143" t="b">
        <f t="shared" si="81"/>
        <v>0</v>
      </c>
      <c r="R143" t="b">
        <f t="shared" si="81"/>
        <v>0</v>
      </c>
      <c r="S143" s="22">
        <f t="shared" si="82"/>
        <v>0</v>
      </c>
      <c r="T143" s="18"/>
      <c r="U143" s="5"/>
      <c r="V143" s="18"/>
      <c r="W143" s="19"/>
    </row>
    <row r="144" spans="1:23" ht="13">
      <c r="B144" s="1" t="s">
        <v>99</v>
      </c>
      <c r="H144" t="b">
        <f t="shared" ref="H144:J145" si="83">AND($L141,(_xlfn.XOR(H141,NOT($L136))))</f>
        <v>1</v>
      </c>
      <c r="I144" t="b">
        <f t="shared" si="83"/>
        <v>0</v>
      </c>
      <c r="J144" t="b">
        <f t="shared" si="83"/>
        <v>0</v>
      </c>
      <c r="T144" s="18"/>
      <c r="U144" s="8"/>
      <c r="V144" s="18"/>
      <c r="W144" s="19"/>
    </row>
    <row r="145" spans="1:23" ht="13">
      <c r="B145" t="b">
        <f t="shared" ref="B145:D147" si="84">AND($F141,(_xlfn.XOR(B141,NOT($F136))))</f>
        <v>1</v>
      </c>
      <c r="C145" t="b">
        <f t="shared" si="84"/>
        <v>1</v>
      </c>
      <c r="D145" t="b">
        <f t="shared" si="84"/>
        <v>1</v>
      </c>
      <c r="H145" t="b">
        <f t="shared" si="83"/>
        <v>0</v>
      </c>
      <c r="I145" t="b">
        <f t="shared" si="83"/>
        <v>0</v>
      </c>
      <c r="J145" t="b">
        <f t="shared" si="83"/>
        <v>1</v>
      </c>
      <c r="T145" s="18"/>
      <c r="U145" s="8"/>
      <c r="V145" s="18"/>
      <c r="W145" s="19"/>
    </row>
    <row r="146" spans="1:23" ht="13">
      <c r="A146" s="2"/>
      <c r="B146" t="b">
        <f t="shared" si="84"/>
        <v>0</v>
      </c>
      <c r="C146" t="b">
        <f t="shared" si="84"/>
        <v>0</v>
      </c>
      <c r="D146" t="b">
        <f t="shared" si="84"/>
        <v>0</v>
      </c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18"/>
      <c r="U146" s="8"/>
      <c r="V146" s="18"/>
      <c r="W146" s="18"/>
    </row>
    <row r="147" spans="1:23" ht="13">
      <c r="A147" s="2"/>
      <c r="B147" t="b">
        <f t="shared" si="84"/>
        <v>1</v>
      </c>
      <c r="C147" t="b">
        <f t="shared" si="84"/>
        <v>1</v>
      </c>
      <c r="D147" t="b">
        <f t="shared" si="84"/>
        <v>1</v>
      </c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18"/>
      <c r="U147" s="8"/>
      <c r="V147" s="18"/>
      <c r="W147" s="18"/>
    </row>
    <row r="148" spans="1:23" ht="13">
      <c r="B148" s="18"/>
      <c r="C148" s="18"/>
      <c r="D148" s="18"/>
      <c r="E148" s="18"/>
      <c r="F148" s="18"/>
      <c r="G148" s="18"/>
      <c r="H148" s="18"/>
      <c r="I148" s="19"/>
      <c r="J148" s="19"/>
      <c r="K148" s="18"/>
      <c r="L148" s="20"/>
      <c r="M148" s="18"/>
      <c r="N148" s="18"/>
      <c r="O148" s="18"/>
      <c r="P148" s="18"/>
      <c r="Q148" s="18"/>
      <c r="R148" s="18"/>
      <c r="S148" s="18"/>
      <c r="T148" s="18"/>
      <c r="U148" s="8"/>
      <c r="V148" s="18"/>
      <c r="W148" s="18"/>
    </row>
    <row r="149" spans="1:23" ht="13">
      <c r="A149" s="2" t="s">
        <v>72</v>
      </c>
      <c r="B149" s="39" t="s">
        <v>27</v>
      </c>
      <c r="C149" s="38"/>
      <c r="D149" s="38"/>
      <c r="E149" s="2" t="s">
        <v>28</v>
      </c>
      <c r="F149" s="2" t="s">
        <v>29</v>
      </c>
      <c r="G149" s="6"/>
      <c r="H149" s="39" t="s">
        <v>30</v>
      </c>
      <c r="I149" s="38"/>
      <c r="J149" s="38"/>
      <c r="K149" s="2" t="s">
        <v>31</v>
      </c>
      <c r="L149" s="2" t="s">
        <v>37</v>
      </c>
      <c r="N149" s="39" t="s">
        <v>38</v>
      </c>
      <c r="O149" s="38"/>
      <c r="P149" s="2" t="s">
        <v>39</v>
      </c>
      <c r="Q149" s="2" t="s">
        <v>32</v>
      </c>
      <c r="R149" s="2" t="s">
        <v>73</v>
      </c>
      <c r="S149" s="2" t="s">
        <v>34</v>
      </c>
      <c r="U149" s="8"/>
    </row>
    <row r="150" spans="1:23" ht="13">
      <c r="A150" s="1">
        <f>$D$5</f>
        <v>1</v>
      </c>
      <c r="B150" s="1">
        <v>1</v>
      </c>
      <c r="C150" s="1">
        <v>0</v>
      </c>
      <c r="D150" s="1">
        <v>0</v>
      </c>
      <c r="E150" s="1">
        <v>3</v>
      </c>
      <c r="F150" t="b">
        <f t="shared" ref="F150:F152" si="85">COUNTIF(B155:D155, TRUE)&gt;=E150</f>
        <v>0</v>
      </c>
      <c r="H150" s="1">
        <v>1</v>
      </c>
      <c r="I150" s="1">
        <v>0</v>
      </c>
      <c r="J150" s="1">
        <v>0</v>
      </c>
      <c r="K150" s="1">
        <v>1</v>
      </c>
      <c r="L150" t="b">
        <f t="shared" ref="L150:L151" si="86">COUNTIF(H155:J155, TRUE)&gt;=K150</f>
        <v>1</v>
      </c>
      <c r="N150" s="14">
        <v>1</v>
      </c>
      <c r="O150" s="1">
        <v>0</v>
      </c>
      <c r="P150" s="1">
        <v>2</v>
      </c>
      <c r="Q150" t="b">
        <f t="shared" ref="Q150:Q152" si="87">COUNTIF(N155:O155, TRUE)&gt;=P150</f>
        <v>0</v>
      </c>
      <c r="R150">
        <f>$H$5</f>
        <v>0</v>
      </c>
      <c r="S150" t="b">
        <f>_xlfn.XOR(Q150,R150)</f>
        <v>0</v>
      </c>
      <c r="T150" s="18"/>
      <c r="U150" s="8"/>
      <c r="V150" s="18"/>
      <c r="W150" s="18"/>
    </row>
    <row r="151" spans="1:23" ht="13">
      <c r="A151" s="1">
        <f>$E$5</f>
        <v>1</v>
      </c>
      <c r="B151" s="1">
        <v>0</v>
      </c>
      <c r="C151" s="1">
        <v>0</v>
      </c>
      <c r="D151" s="1">
        <v>0</v>
      </c>
      <c r="E151" s="1">
        <v>2</v>
      </c>
      <c r="F151" t="b">
        <f t="shared" si="85"/>
        <v>1</v>
      </c>
      <c r="H151" s="1">
        <v>1</v>
      </c>
      <c r="I151" s="1">
        <v>1</v>
      </c>
      <c r="J151" s="1">
        <v>0</v>
      </c>
      <c r="K151" s="1">
        <v>3</v>
      </c>
      <c r="L151" t="b">
        <f t="shared" si="86"/>
        <v>0</v>
      </c>
      <c r="N151" s="14">
        <v>1</v>
      </c>
      <c r="O151" s="1">
        <v>0</v>
      </c>
      <c r="P151" s="1">
        <v>1</v>
      </c>
      <c r="Q151" t="b">
        <f t="shared" si="87"/>
        <v>0</v>
      </c>
      <c r="R151">
        <f>$I$5</f>
        <v>1</v>
      </c>
      <c r="S151" t="b">
        <f>_xlfn.XOR(Q151,R151)</f>
        <v>1</v>
      </c>
      <c r="T151" s="18"/>
      <c r="U151" s="8"/>
      <c r="V151" s="18"/>
      <c r="W151" s="18"/>
    </row>
    <row r="152" spans="1:23" ht="13">
      <c r="A152">
        <f>$F$5</f>
        <v>0</v>
      </c>
      <c r="B152" s="1">
        <v>1</v>
      </c>
      <c r="C152" s="1">
        <v>0</v>
      </c>
      <c r="D152" s="1">
        <v>0</v>
      </c>
      <c r="E152" s="17">
        <f>E138+E143</f>
        <v>2</v>
      </c>
      <c r="F152" t="b">
        <f t="shared" si="85"/>
        <v>0</v>
      </c>
      <c r="N152" s="14">
        <v>0</v>
      </c>
      <c r="O152" s="1">
        <v>1</v>
      </c>
      <c r="P152" s="1">
        <v>2</v>
      </c>
      <c r="Q152" t="b">
        <f t="shared" si="87"/>
        <v>1</v>
      </c>
      <c r="R152">
        <f>$J$5</f>
        <v>1</v>
      </c>
      <c r="S152" t="b">
        <f>_xlfn.XOR(Q152,R152)</f>
        <v>0</v>
      </c>
      <c r="T152" s="18"/>
      <c r="U152" s="8"/>
      <c r="V152" s="5"/>
      <c r="W152" s="19"/>
    </row>
    <row r="153" spans="1:23" ht="13">
      <c r="T153" s="18"/>
      <c r="U153" s="19"/>
      <c r="V153" s="4"/>
      <c r="W153" s="19"/>
    </row>
    <row r="154" spans="1:23" ht="13">
      <c r="B154" s="1" t="s">
        <v>182</v>
      </c>
      <c r="E154" s="1" t="s">
        <v>67</v>
      </c>
      <c r="F154" s="1" t="s">
        <v>34</v>
      </c>
      <c r="H154" s="1" t="s">
        <v>183</v>
      </c>
      <c r="K154" s="1" t="s">
        <v>76</v>
      </c>
      <c r="L154" s="1" t="s">
        <v>44</v>
      </c>
      <c r="N154" s="1" t="s">
        <v>184</v>
      </c>
      <c r="Q154" s="1" t="s">
        <v>70</v>
      </c>
      <c r="S154" s="1" t="s">
        <v>102</v>
      </c>
      <c r="T154" s="18"/>
      <c r="U154" s="19"/>
      <c r="V154" s="4"/>
      <c r="W154" s="19"/>
    </row>
    <row r="155" spans="1:23" ht="18">
      <c r="B155" t="b">
        <f>_xlfn.XOR($A150,B150)</f>
        <v>0</v>
      </c>
      <c r="C155" t="b">
        <f>_xlfn.XOR($A151,C150)</f>
        <v>1</v>
      </c>
      <c r="D155" t="b">
        <f>_xlfn.XOR($A152,D150)</f>
        <v>0</v>
      </c>
      <c r="E155">
        <f t="shared" ref="E155:E157" si="88">IF(F155,IF(F150,1,-1),0)</f>
        <v>-1</v>
      </c>
      <c r="F155" t="b">
        <f>OR(H158:H159)</f>
        <v>1</v>
      </c>
      <c r="H155" t="b">
        <f>_xlfn.XOR($F150,$H150)</f>
        <v>1</v>
      </c>
      <c r="I155" t="b">
        <f>_xlfn.XOR($F151,$I150)</f>
        <v>1</v>
      </c>
      <c r="J155" t="b">
        <f>_xlfn.XOR($F152,$J150)</f>
        <v>0</v>
      </c>
      <c r="K155">
        <f t="shared" ref="K155:K156" si="89">IF(L155,IF(L150,1,-1),0)</f>
        <v>1</v>
      </c>
      <c r="L155" t="b">
        <f>OR(Q155:Q157)</f>
        <v>1</v>
      </c>
      <c r="N155" t="b">
        <f>_xlfn.XOR($L150,$N150)</f>
        <v>0</v>
      </c>
      <c r="O155" t="b">
        <f>_xlfn.XOR($L151,$O150)</f>
        <v>0</v>
      </c>
      <c r="Q155" t="b">
        <f t="shared" ref="Q155:R157" si="90">AND($S150,(_xlfn.XOR(N155,NOT($Q150))))</f>
        <v>0</v>
      </c>
      <c r="R155" t="b">
        <f t="shared" si="90"/>
        <v>0</v>
      </c>
      <c r="S155" s="22">
        <f t="shared" ref="S155:S157" si="91">IF($S150,IF(Q150,1,-1),0)</f>
        <v>0</v>
      </c>
      <c r="T155" s="1" t="s">
        <v>124</v>
      </c>
      <c r="U155" s="19"/>
      <c r="V155" s="4"/>
      <c r="W155" s="19"/>
    </row>
    <row r="156" spans="1:23" ht="18">
      <c r="B156" t="b">
        <f>_xlfn.XOR($A150,B151)</f>
        <v>1</v>
      </c>
      <c r="C156" t="b">
        <f>_xlfn.XOR($A151,C151)</f>
        <v>1</v>
      </c>
      <c r="D156" t="b">
        <f>_xlfn.XOR($A152,D151)</f>
        <v>0</v>
      </c>
      <c r="E156">
        <f t="shared" si="88"/>
        <v>1</v>
      </c>
      <c r="F156" t="b">
        <f>OR(I158:I159)</f>
        <v>1</v>
      </c>
      <c r="H156" t="b">
        <f>_xlfn.XOR($F150,$H151)</f>
        <v>1</v>
      </c>
      <c r="I156" t="b">
        <f>_xlfn.XOR($F151,$I151)</f>
        <v>0</v>
      </c>
      <c r="J156" t="b">
        <f>_xlfn.XOR($F152,$J151)</f>
        <v>0</v>
      </c>
      <c r="K156">
        <f t="shared" si="89"/>
        <v>-1</v>
      </c>
      <c r="L156" t="b">
        <f>OR(R155:R157)</f>
        <v>1</v>
      </c>
      <c r="N156" t="b">
        <f>_xlfn.XOR($L150,$N151)</f>
        <v>0</v>
      </c>
      <c r="O156" t="b">
        <f>_xlfn.XOR($L151,$O151)</f>
        <v>0</v>
      </c>
      <c r="Q156" t="b">
        <f t="shared" si="90"/>
        <v>1</v>
      </c>
      <c r="R156" t="b">
        <f t="shared" si="90"/>
        <v>1</v>
      </c>
      <c r="S156" s="22">
        <f t="shared" si="91"/>
        <v>-1</v>
      </c>
      <c r="T156" s="18"/>
      <c r="U156" s="18"/>
      <c r="V156" s="18"/>
      <c r="W156" s="18"/>
    </row>
    <row r="157" spans="1:23" ht="18">
      <c r="B157" t="b">
        <f>_xlfn.XOR($A150,B152)</f>
        <v>0</v>
      </c>
      <c r="C157" t="b">
        <f>_xlfn.XOR($A151,C152)</f>
        <v>1</v>
      </c>
      <c r="D157" t="b">
        <f>_xlfn.XOR($A152,D152)</f>
        <v>0</v>
      </c>
      <c r="E157">
        <f t="shared" si="88"/>
        <v>-1</v>
      </c>
      <c r="F157" t="b">
        <f>OR(J158:J159)</f>
        <v>1</v>
      </c>
      <c r="H157" s="1" t="s">
        <v>56</v>
      </c>
      <c r="N157" t="b">
        <f>_xlfn.XOR($L150,$N152)</f>
        <v>1</v>
      </c>
      <c r="O157" t="b">
        <f>_xlfn.XOR($L151,$O152)</f>
        <v>1</v>
      </c>
      <c r="Q157" t="b">
        <f t="shared" si="90"/>
        <v>0</v>
      </c>
      <c r="R157" t="b">
        <f t="shared" si="90"/>
        <v>0</v>
      </c>
      <c r="S157" s="22">
        <f t="shared" si="91"/>
        <v>0</v>
      </c>
      <c r="T157" s="18"/>
      <c r="U157" s="5"/>
      <c r="V157" s="18"/>
      <c r="W157" s="19"/>
    </row>
    <row r="158" spans="1:23" ht="13">
      <c r="B158" s="1" t="s">
        <v>99</v>
      </c>
      <c r="H158" t="b">
        <f t="shared" ref="H158:J159" si="92">AND($L155,(_xlfn.XOR(H155,NOT($L150))))</f>
        <v>1</v>
      </c>
      <c r="I158" t="b">
        <f t="shared" si="92"/>
        <v>1</v>
      </c>
      <c r="J158" t="b">
        <f t="shared" si="92"/>
        <v>0</v>
      </c>
      <c r="T158" s="18"/>
      <c r="U158" s="8"/>
      <c r="V158" s="18"/>
      <c r="W158" s="19"/>
    </row>
    <row r="159" spans="1:23" ht="13">
      <c r="B159" t="b">
        <f t="shared" ref="B159:D161" si="93">AND($F155,(_xlfn.XOR(B155,NOT($F150))))</f>
        <v>1</v>
      </c>
      <c r="C159" t="b">
        <f t="shared" si="93"/>
        <v>0</v>
      </c>
      <c r="D159" t="b">
        <f t="shared" si="93"/>
        <v>1</v>
      </c>
      <c r="H159" t="b">
        <f t="shared" si="92"/>
        <v>0</v>
      </c>
      <c r="I159" t="b">
        <f t="shared" si="92"/>
        <v>1</v>
      </c>
      <c r="J159" t="b">
        <f t="shared" si="92"/>
        <v>1</v>
      </c>
      <c r="T159" s="18"/>
      <c r="U159" s="8"/>
      <c r="V159" s="18"/>
      <c r="W159" s="19"/>
    </row>
    <row r="160" spans="1:23" ht="13">
      <c r="A160" s="2"/>
      <c r="B160" t="b">
        <f t="shared" si="93"/>
        <v>1</v>
      </c>
      <c r="C160" t="b">
        <f t="shared" si="93"/>
        <v>1</v>
      </c>
      <c r="D160" t="b">
        <f t="shared" si="93"/>
        <v>0</v>
      </c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18"/>
      <c r="U160" s="8"/>
      <c r="V160" s="18"/>
      <c r="W160" s="19"/>
    </row>
    <row r="161" spans="1:23" ht="13">
      <c r="A161" s="2"/>
      <c r="B161" t="b">
        <f t="shared" si="93"/>
        <v>1</v>
      </c>
      <c r="C161" t="b">
        <f t="shared" si="93"/>
        <v>0</v>
      </c>
      <c r="D161" t="b">
        <f t="shared" si="93"/>
        <v>1</v>
      </c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18"/>
      <c r="U161" s="8"/>
      <c r="V161" s="18"/>
      <c r="W161" s="18"/>
    </row>
    <row r="162" spans="1:23" ht="13">
      <c r="B162" s="19"/>
      <c r="C162" s="19"/>
      <c r="D162" s="19"/>
      <c r="F162" s="18"/>
      <c r="G162" s="18"/>
      <c r="H162" s="18"/>
      <c r="I162" s="19"/>
      <c r="J162" s="19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8"/>
      <c r="V162" s="18"/>
      <c r="W162" s="18"/>
    </row>
    <row r="163" spans="1:23" ht="13">
      <c r="A163" s="2" t="s">
        <v>80</v>
      </c>
      <c r="B163" s="39" t="s">
        <v>27</v>
      </c>
      <c r="C163" s="38"/>
      <c r="D163" s="38"/>
      <c r="E163" s="2" t="s">
        <v>28</v>
      </c>
      <c r="F163" s="2" t="s">
        <v>29</v>
      </c>
      <c r="G163" s="6"/>
      <c r="H163" s="39" t="s">
        <v>30</v>
      </c>
      <c r="I163" s="38"/>
      <c r="J163" s="38"/>
      <c r="K163" s="2" t="s">
        <v>31</v>
      </c>
      <c r="L163" s="2" t="s">
        <v>37</v>
      </c>
      <c r="N163" s="39" t="s">
        <v>38</v>
      </c>
      <c r="O163" s="38"/>
      <c r="P163" s="2" t="s">
        <v>39</v>
      </c>
      <c r="Q163" s="2" t="s">
        <v>32</v>
      </c>
      <c r="R163" s="2" t="s">
        <v>81</v>
      </c>
      <c r="S163" s="2" t="s">
        <v>34</v>
      </c>
      <c r="T163" s="18"/>
      <c r="U163" s="8"/>
      <c r="V163" s="18"/>
      <c r="W163" s="18"/>
    </row>
    <row r="164" spans="1:23" ht="13">
      <c r="A164" s="1">
        <f>$D$6</f>
        <v>0</v>
      </c>
      <c r="B164" s="1">
        <v>1</v>
      </c>
      <c r="C164" s="1">
        <v>0</v>
      </c>
      <c r="D164" s="1">
        <v>0</v>
      </c>
      <c r="E164" s="1">
        <v>3</v>
      </c>
      <c r="F164" t="b">
        <f t="shared" ref="F164:F166" si="94">COUNTIF(B169:D169, TRUE)&gt;=E164</f>
        <v>0</v>
      </c>
      <c r="H164" s="1">
        <v>1</v>
      </c>
      <c r="I164" s="1">
        <v>0</v>
      </c>
      <c r="J164" s="1">
        <v>0</v>
      </c>
      <c r="K164" s="1">
        <v>1</v>
      </c>
      <c r="L164" t="b">
        <f t="shared" ref="L164:L165" si="95">COUNTIF(H169:J169, TRUE)&gt;=K164</f>
        <v>1</v>
      </c>
      <c r="N164" s="14">
        <v>1</v>
      </c>
      <c r="O164" s="1">
        <v>0</v>
      </c>
      <c r="P164" s="1">
        <v>2</v>
      </c>
      <c r="Q164" t="b">
        <f t="shared" ref="Q164:Q166" si="96">COUNTIF(N169:O169, TRUE)&gt;=P164</f>
        <v>0</v>
      </c>
      <c r="R164">
        <f>$H$6</f>
        <v>0</v>
      </c>
      <c r="S164" t="b">
        <f>_xlfn.XOR(Q164,R164)</f>
        <v>0</v>
      </c>
      <c r="U164" s="8"/>
    </row>
    <row r="165" spans="1:23" ht="13">
      <c r="A165" s="1">
        <f>$E$6</f>
        <v>0</v>
      </c>
      <c r="B165" s="1">
        <v>0</v>
      </c>
      <c r="C165" s="17" t="b">
        <f>IF(C160,(NOT(C151)),C151)</f>
        <v>1</v>
      </c>
      <c r="D165" s="1">
        <v>0</v>
      </c>
      <c r="E165" s="1">
        <v>2</v>
      </c>
      <c r="F165" t="b">
        <f t="shared" si="94"/>
        <v>1</v>
      </c>
      <c r="H165" s="1">
        <v>1</v>
      </c>
      <c r="I165" s="1">
        <v>1</v>
      </c>
      <c r="J165" s="1">
        <v>0</v>
      </c>
      <c r="K165" s="1">
        <v>3</v>
      </c>
      <c r="L165" t="b">
        <f t="shared" si="95"/>
        <v>0</v>
      </c>
      <c r="N165" s="14">
        <v>1</v>
      </c>
      <c r="O165" s="1">
        <v>0</v>
      </c>
      <c r="P165" s="1">
        <v>1</v>
      </c>
      <c r="Q165" t="b">
        <f t="shared" si="96"/>
        <v>0</v>
      </c>
      <c r="R165">
        <f>$I$6</f>
        <v>1</v>
      </c>
      <c r="S165" t="b">
        <f>_xlfn.XOR(Q165,R165)</f>
        <v>1</v>
      </c>
      <c r="T165" s="18"/>
      <c r="U165" s="8"/>
      <c r="V165" s="18"/>
      <c r="W165" s="18"/>
    </row>
    <row r="166" spans="1:23" ht="13">
      <c r="A166">
        <f>$F$6</f>
        <v>1</v>
      </c>
      <c r="B166" s="1">
        <v>1</v>
      </c>
      <c r="C166" s="1">
        <v>0</v>
      </c>
      <c r="D166" s="1">
        <v>0</v>
      </c>
      <c r="E166" s="1">
        <v>2</v>
      </c>
      <c r="F166" t="b">
        <f t="shared" si="94"/>
        <v>1</v>
      </c>
      <c r="N166" s="14">
        <v>0</v>
      </c>
      <c r="O166" s="1">
        <v>1</v>
      </c>
      <c r="P166" s="1">
        <v>2</v>
      </c>
      <c r="Q166" t="b">
        <f t="shared" si="96"/>
        <v>1</v>
      </c>
      <c r="R166">
        <f>$J$6</f>
        <v>0</v>
      </c>
      <c r="S166" t="b">
        <f>_xlfn.XOR(Q166,R166)</f>
        <v>1</v>
      </c>
      <c r="T166" s="18"/>
      <c r="U166" s="8"/>
      <c r="V166" s="18"/>
      <c r="W166" s="18"/>
    </row>
    <row r="167" spans="1:23" ht="13">
      <c r="T167" s="18"/>
      <c r="U167" s="19"/>
      <c r="V167" s="4"/>
      <c r="W167" s="19"/>
    </row>
    <row r="168" spans="1:23" ht="13">
      <c r="B168" s="1" t="s">
        <v>182</v>
      </c>
      <c r="E168" s="1" t="s">
        <v>67</v>
      </c>
      <c r="F168" s="1" t="s">
        <v>34</v>
      </c>
      <c r="H168" s="1" t="s">
        <v>183</v>
      </c>
      <c r="K168" s="1" t="s">
        <v>76</v>
      </c>
      <c r="L168" s="1" t="s">
        <v>44</v>
      </c>
      <c r="N168" s="1" t="s">
        <v>184</v>
      </c>
      <c r="Q168" s="1" t="s">
        <v>70</v>
      </c>
      <c r="S168" s="1" t="s">
        <v>102</v>
      </c>
      <c r="T168" s="18"/>
      <c r="U168" s="19"/>
      <c r="V168" s="4"/>
      <c r="W168" s="19"/>
    </row>
    <row r="169" spans="1:23" ht="18">
      <c r="B169" t="b">
        <f>_xlfn.XOR($A164,B164)</f>
        <v>1</v>
      </c>
      <c r="C169" t="b">
        <f>_xlfn.XOR($A165,C164)</f>
        <v>0</v>
      </c>
      <c r="D169" t="b">
        <f>_xlfn.XOR($A166,D164)</f>
        <v>1</v>
      </c>
      <c r="E169">
        <f t="shared" ref="E169:E171" si="97">IF(F169,IF(F164,1,-1),0)</f>
        <v>-1</v>
      </c>
      <c r="F169" t="b">
        <f>OR(H172:H173)</f>
        <v>1</v>
      </c>
      <c r="H169" t="b">
        <f>_xlfn.XOR($F164,$H164)</f>
        <v>1</v>
      </c>
      <c r="I169" t="b">
        <f>_xlfn.XOR($F165,$I164)</f>
        <v>1</v>
      </c>
      <c r="J169" t="b">
        <f>_xlfn.XOR($F166,$J164)</f>
        <v>1</v>
      </c>
      <c r="K169">
        <f t="shared" ref="K169:K170" si="98">IF(L169,IF(L164,1,-1),0)</f>
        <v>1</v>
      </c>
      <c r="L169" t="b">
        <f>OR(Q169:Q171)</f>
        <v>1</v>
      </c>
      <c r="N169" t="b">
        <f>_xlfn.XOR($L164,$N164)</f>
        <v>0</v>
      </c>
      <c r="O169" t="b">
        <f>_xlfn.XOR($L165,$O164)</f>
        <v>0</v>
      </c>
      <c r="Q169" t="b">
        <f t="shared" ref="Q169:R171" si="99">AND($S164,(_xlfn.XOR(N169,NOT($Q164))))</f>
        <v>0</v>
      </c>
      <c r="R169" t="b">
        <f t="shared" si="99"/>
        <v>0</v>
      </c>
      <c r="S169" s="22">
        <f t="shared" ref="S169:S171" si="100">IF($S164,IF(Q164,1,-1),0)</f>
        <v>0</v>
      </c>
      <c r="T169" s="1" t="s">
        <v>137</v>
      </c>
      <c r="U169" s="19"/>
      <c r="V169" s="4"/>
      <c r="W169" s="19"/>
    </row>
    <row r="170" spans="1:23" ht="18">
      <c r="B170" t="b">
        <f>_xlfn.XOR($A164,B165)</f>
        <v>0</v>
      </c>
      <c r="C170" t="b">
        <f>_xlfn.XOR($A165,C165)</f>
        <v>1</v>
      </c>
      <c r="D170" t="b">
        <f>_xlfn.XOR($A166,D165)</f>
        <v>1</v>
      </c>
      <c r="E170">
        <f t="shared" si="97"/>
        <v>1</v>
      </c>
      <c r="F170" t="b">
        <f>OR(I172:I173)</f>
        <v>1</v>
      </c>
      <c r="H170" t="b">
        <f>_xlfn.XOR($F164,$H165)</f>
        <v>1</v>
      </c>
      <c r="I170" t="b">
        <f>_xlfn.XOR($F165,$I165)</f>
        <v>0</v>
      </c>
      <c r="J170" t="b">
        <f>_xlfn.XOR($F166,$J165)</f>
        <v>1</v>
      </c>
      <c r="K170">
        <f t="shared" si="98"/>
        <v>-1</v>
      </c>
      <c r="L170" t="b">
        <f>OR(R169:R171)</f>
        <v>1</v>
      </c>
      <c r="N170" t="b">
        <f>_xlfn.XOR($L164,$N165)</f>
        <v>0</v>
      </c>
      <c r="O170" t="b">
        <f>_xlfn.XOR($L165,$O165)</f>
        <v>0</v>
      </c>
      <c r="Q170" t="b">
        <f t="shared" si="99"/>
        <v>1</v>
      </c>
      <c r="R170" t="b">
        <f t="shared" si="99"/>
        <v>1</v>
      </c>
      <c r="S170" s="22">
        <f t="shared" si="100"/>
        <v>-1</v>
      </c>
      <c r="T170" s="20" t="s">
        <v>139</v>
      </c>
      <c r="U170" s="19"/>
      <c r="V170" s="4"/>
      <c r="W170" s="19"/>
    </row>
    <row r="171" spans="1:23" ht="18">
      <c r="B171" t="b">
        <f>_xlfn.XOR($A164,B166)</f>
        <v>1</v>
      </c>
      <c r="C171" t="b">
        <f>_xlfn.XOR($A165,C166)</f>
        <v>0</v>
      </c>
      <c r="D171" t="b">
        <f>_xlfn.XOR($A166,D166)</f>
        <v>1</v>
      </c>
      <c r="E171">
        <f t="shared" si="97"/>
        <v>1</v>
      </c>
      <c r="F171" t="b">
        <f>OR(J172:J173)</f>
        <v>1</v>
      </c>
      <c r="H171" s="1" t="s">
        <v>56</v>
      </c>
      <c r="N171" t="b">
        <f>_xlfn.XOR($L164,$N166)</f>
        <v>1</v>
      </c>
      <c r="O171" t="b">
        <f>_xlfn.XOR($L165,$O166)</f>
        <v>1</v>
      </c>
      <c r="Q171" t="b">
        <f t="shared" si="99"/>
        <v>1</v>
      </c>
      <c r="R171" t="b">
        <f t="shared" si="99"/>
        <v>1</v>
      </c>
      <c r="S171" s="22">
        <f t="shared" si="100"/>
        <v>1</v>
      </c>
      <c r="T171" s="18"/>
      <c r="U171" s="18"/>
      <c r="V171" s="18"/>
      <c r="W171" s="18"/>
    </row>
    <row r="172" spans="1:23" ht="13">
      <c r="B172" s="1" t="s">
        <v>99</v>
      </c>
      <c r="H172" t="b">
        <f t="shared" ref="H172:J173" si="101">AND($L169,(_xlfn.XOR(H169,NOT($L164))))</f>
        <v>1</v>
      </c>
      <c r="I172" t="b">
        <f t="shared" si="101"/>
        <v>1</v>
      </c>
      <c r="J172" t="b">
        <f t="shared" si="101"/>
        <v>1</v>
      </c>
      <c r="T172" s="18"/>
      <c r="U172" s="5"/>
      <c r="V172" s="18"/>
      <c r="W172" s="19"/>
    </row>
    <row r="173" spans="1:23" ht="13">
      <c r="B173" t="b">
        <f t="shared" ref="B173:D175" si="102">AND($F169,(_xlfn.XOR(B169,NOT($F164))))</f>
        <v>0</v>
      </c>
      <c r="C173" t="b">
        <f t="shared" si="102"/>
        <v>1</v>
      </c>
      <c r="D173" t="b">
        <f t="shared" si="102"/>
        <v>0</v>
      </c>
      <c r="H173" t="b">
        <f t="shared" si="101"/>
        <v>0</v>
      </c>
      <c r="I173" t="b">
        <f t="shared" si="101"/>
        <v>1</v>
      </c>
      <c r="J173" t="b">
        <f t="shared" si="101"/>
        <v>0</v>
      </c>
      <c r="T173" s="18"/>
      <c r="U173" s="5"/>
      <c r="V173" s="18"/>
      <c r="W173" s="19"/>
    </row>
    <row r="174" spans="1:23" ht="13">
      <c r="A174" s="2"/>
      <c r="B174" t="b">
        <f t="shared" si="102"/>
        <v>0</v>
      </c>
      <c r="C174" t="b">
        <f t="shared" si="102"/>
        <v>1</v>
      </c>
      <c r="D174" t="b">
        <f t="shared" si="102"/>
        <v>1</v>
      </c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18"/>
      <c r="U174" s="5"/>
      <c r="V174" s="18"/>
      <c r="W174" s="19"/>
    </row>
    <row r="175" spans="1:23" ht="13">
      <c r="A175" s="2"/>
      <c r="B175" t="b">
        <f t="shared" si="102"/>
        <v>1</v>
      </c>
      <c r="C175" t="b">
        <f t="shared" si="102"/>
        <v>0</v>
      </c>
      <c r="D175" t="b">
        <f t="shared" si="102"/>
        <v>1</v>
      </c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18"/>
      <c r="U175" s="5"/>
      <c r="V175" s="18"/>
      <c r="W175" s="19"/>
    </row>
    <row r="176" spans="1:23" ht="13">
      <c r="B176" s="19"/>
      <c r="C176" s="19"/>
      <c r="D176" s="19"/>
      <c r="E176" s="18"/>
      <c r="F176" s="18"/>
      <c r="G176" s="18"/>
      <c r="H176" s="18"/>
      <c r="I176" s="19"/>
      <c r="J176" s="19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</row>
    <row r="177" spans="1:23" ht="13">
      <c r="A177" s="2" t="s">
        <v>96</v>
      </c>
      <c r="B177" s="39" t="s">
        <v>27</v>
      </c>
      <c r="C177" s="38"/>
      <c r="D177" s="38"/>
      <c r="E177" s="2" t="s">
        <v>28</v>
      </c>
      <c r="F177" s="2" t="s">
        <v>29</v>
      </c>
      <c r="G177" s="6"/>
      <c r="H177" s="39" t="s">
        <v>30</v>
      </c>
      <c r="I177" s="38"/>
      <c r="J177" s="38"/>
      <c r="K177" s="2" t="s">
        <v>31</v>
      </c>
      <c r="L177" s="2" t="s">
        <v>37</v>
      </c>
      <c r="N177" s="39" t="s">
        <v>38</v>
      </c>
      <c r="O177" s="38"/>
      <c r="P177" s="2" t="s">
        <v>39</v>
      </c>
      <c r="Q177" s="2" t="s">
        <v>32</v>
      </c>
      <c r="R177" s="2" t="s">
        <v>97</v>
      </c>
      <c r="S177" s="2" t="s">
        <v>34</v>
      </c>
      <c r="T177" s="18"/>
      <c r="U177" s="18"/>
      <c r="V177" s="18"/>
      <c r="W177" s="18"/>
    </row>
    <row r="178" spans="1:23" ht="13">
      <c r="A178" s="1">
        <f>$D$7</f>
        <v>0</v>
      </c>
      <c r="B178" s="1">
        <v>1</v>
      </c>
      <c r="C178" s="1">
        <v>0</v>
      </c>
      <c r="D178" s="1">
        <v>0</v>
      </c>
      <c r="E178" s="1">
        <v>3</v>
      </c>
      <c r="F178" t="b">
        <f t="shared" ref="F178:F180" si="103">COUNTIF(B183:D183, TRUE)&gt;=E178</f>
        <v>1</v>
      </c>
      <c r="H178" s="1">
        <v>1</v>
      </c>
      <c r="I178" s="1">
        <v>0</v>
      </c>
      <c r="J178" s="1">
        <v>0</v>
      </c>
      <c r="K178" s="1">
        <v>1</v>
      </c>
      <c r="L178" t="b">
        <f t="shared" ref="L178:L179" si="104">COUNTIF(H183:J183, TRUE)&gt;=K178</f>
        <v>1</v>
      </c>
      <c r="N178" s="14">
        <v>1</v>
      </c>
      <c r="O178" s="1">
        <v>0</v>
      </c>
      <c r="P178" s="1">
        <v>2</v>
      </c>
      <c r="Q178" t="b">
        <f t="shared" ref="Q178:Q180" si="105">COUNTIF(N183:O183, TRUE)&gt;=P178</f>
        <v>0</v>
      </c>
      <c r="R178">
        <f>$H$7</f>
        <v>1</v>
      </c>
      <c r="S178" t="b">
        <f>_xlfn.XOR(Q178,R178)</f>
        <v>1</v>
      </c>
      <c r="T178" s="18"/>
      <c r="U178" s="18"/>
      <c r="V178" s="18"/>
      <c r="W178" s="18"/>
    </row>
    <row r="179" spans="1:23" ht="13">
      <c r="A179" s="1">
        <f>$E$7</f>
        <v>1</v>
      </c>
      <c r="B179" s="1">
        <v>0</v>
      </c>
      <c r="C179" s="1">
        <v>1</v>
      </c>
      <c r="D179" s="1">
        <v>0</v>
      </c>
      <c r="E179" s="1">
        <v>2</v>
      </c>
      <c r="F179" t="b">
        <f t="shared" si="103"/>
        <v>0</v>
      </c>
      <c r="H179" s="1">
        <v>1</v>
      </c>
      <c r="I179" s="1">
        <v>1</v>
      </c>
      <c r="J179" s="1">
        <v>0</v>
      </c>
      <c r="K179" s="1">
        <v>3</v>
      </c>
      <c r="L179" t="b">
        <f t="shared" si="104"/>
        <v>0</v>
      </c>
      <c r="N179" s="14">
        <v>1</v>
      </c>
      <c r="O179" s="1">
        <v>0</v>
      </c>
      <c r="P179" s="1">
        <v>1</v>
      </c>
      <c r="Q179" t="b">
        <f t="shared" si="105"/>
        <v>0</v>
      </c>
      <c r="R179">
        <f>$I$7</f>
        <v>0</v>
      </c>
      <c r="S179" t="b">
        <f>_xlfn.XOR(Q179,R179)</f>
        <v>0</v>
      </c>
    </row>
    <row r="180" spans="1:23" ht="13">
      <c r="A180">
        <f>$F$7</f>
        <v>1</v>
      </c>
      <c r="B180" s="1">
        <v>1</v>
      </c>
      <c r="C180" s="1">
        <v>0</v>
      </c>
      <c r="D180" s="1">
        <v>0</v>
      </c>
      <c r="E180" s="1">
        <v>2</v>
      </c>
      <c r="F180" t="b">
        <f t="shared" si="103"/>
        <v>1</v>
      </c>
      <c r="N180" s="14">
        <v>0</v>
      </c>
      <c r="O180" s="1">
        <v>1</v>
      </c>
      <c r="P180" s="17">
        <v>2</v>
      </c>
      <c r="Q180" t="b">
        <f t="shared" si="105"/>
        <v>1</v>
      </c>
      <c r="R180">
        <f>$J$7</f>
        <v>0</v>
      </c>
      <c r="S180" t="b">
        <f>_xlfn.XOR(Q180,R180)</f>
        <v>1</v>
      </c>
      <c r="T180" s="18"/>
      <c r="U180" s="18"/>
      <c r="V180" s="18"/>
      <c r="W180" s="18"/>
    </row>
    <row r="181" spans="1:23" ht="13">
      <c r="T181" s="18"/>
      <c r="U181" s="18"/>
      <c r="V181" s="18"/>
      <c r="W181" s="18"/>
    </row>
    <row r="182" spans="1:23" ht="13">
      <c r="B182" s="1" t="s">
        <v>182</v>
      </c>
      <c r="E182" s="1" t="s">
        <v>67</v>
      </c>
      <c r="F182" s="1" t="s">
        <v>34</v>
      </c>
      <c r="H182" s="1" t="s">
        <v>183</v>
      </c>
      <c r="K182" s="1" t="s">
        <v>76</v>
      </c>
      <c r="L182" s="1" t="s">
        <v>44</v>
      </c>
      <c r="N182" s="1" t="s">
        <v>184</v>
      </c>
      <c r="Q182" s="1" t="s">
        <v>70</v>
      </c>
      <c r="S182" s="1" t="s">
        <v>102</v>
      </c>
      <c r="T182" s="18"/>
      <c r="U182" s="19"/>
      <c r="V182" s="4"/>
      <c r="W182" s="19"/>
    </row>
    <row r="183" spans="1:23" ht="18">
      <c r="B183" t="b">
        <f>_xlfn.XOR($A178,B178)</f>
        <v>1</v>
      </c>
      <c r="C183" t="b">
        <f>_xlfn.XOR($A179,C178)</f>
        <v>1</v>
      </c>
      <c r="D183" t="b">
        <f>_xlfn.XOR($A180,D178)</f>
        <v>1</v>
      </c>
      <c r="E183">
        <f t="shared" ref="E183:E185" si="106">IF(F183,IF(F178,1,-1),0)</f>
        <v>1</v>
      </c>
      <c r="F183" t="b">
        <f>OR(H186:H187)</f>
        <v>1</v>
      </c>
      <c r="H183" t="b">
        <f>_xlfn.XOR($F178,$H178)</f>
        <v>0</v>
      </c>
      <c r="I183" t="b">
        <f>_xlfn.XOR($F179,$I178)</f>
        <v>0</v>
      </c>
      <c r="J183" t="b">
        <f>_xlfn.XOR($F180,$J178)</f>
        <v>1</v>
      </c>
      <c r="K183">
        <f t="shared" ref="K183:K184" si="107">IF(L183,IF(L178,1,-1),0)</f>
        <v>1</v>
      </c>
      <c r="L183" t="b">
        <f>OR(Q183:Q185)</f>
        <v>1</v>
      </c>
      <c r="N183" t="b">
        <f>_xlfn.XOR($L178,$N178)</f>
        <v>0</v>
      </c>
      <c r="O183" t="b">
        <f>_xlfn.XOR($L179,$O178)</f>
        <v>0</v>
      </c>
      <c r="Q183" t="b">
        <f t="shared" ref="Q183:R185" si="108">AND($S178,(_xlfn.XOR(N183,NOT($Q178))))</f>
        <v>1</v>
      </c>
      <c r="R183" t="b">
        <f t="shared" si="108"/>
        <v>1</v>
      </c>
      <c r="S183" s="22">
        <f t="shared" ref="S183:S185" si="109">IF($S178,IF(Q178,1,-1),0)</f>
        <v>-1</v>
      </c>
      <c r="T183" s="1" t="s">
        <v>74</v>
      </c>
      <c r="U183" s="19"/>
      <c r="V183" s="4"/>
      <c r="W183" s="19"/>
    </row>
    <row r="184" spans="1:23" ht="18">
      <c r="B184" t="b">
        <f>_xlfn.XOR($A178,B179)</f>
        <v>0</v>
      </c>
      <c r="C184" t="b">
        <f>_xlfn.XOR($A179,C179)</f>
        <v>0</v>
      </c>
      <c r="D184" t="b">
        <f>_xlfn.XOR($A180,D179)</f>
        <v>1</v>
      </c>
      <c r="E184">
        <f t="shared" si="106"/>
        <v>0</v>
      </c>
      <c r="F184" t="b">
        <f>OR(I186:I187)</f>
        <v>0</v>
      </c>
      <c r="H184" t="b">
        <f>_xlfn.XOR($F178,$H179)</f>
        <v>0</v>
      </c>
      <c r="I184" t="b">
        <f>_xlfn.XOR($F179,$I179)</f>
        <v>1</v>
      </c>
      <c r="J184" t="b">
        <f>_xlfn.XOR($F180,$J179)</f>
        <v>1</v>
      </c>
      <c r="K184">
        <f t="shared" si="107"/>
        <v>-1</v>
      </c>
      <c r="L184" t="b">
        <f>OR(R183:R185)</f>
        <v>1</v>
      </c>
      <c r="N184" t="b">
        <f>_xlfn.XOR($L178,$N179)</f>
        <v>0</v>
      </c>
      <c r="O184" t="b">
        <f>_xlfn.XOR($L179,$O179)</f>
        <v>0</v>
      </c>
      <c r="Q184" t="b">
        <f t="shared" si="108"/>
        <v>0</v>
      </c>
      <c r="R184" t="b">
        <f t="shared" si="108"/>
        <v>0</v>
      </c>
      <c r="S184" s="22">
        <f t="shared" si="109"/>
        <v>0</v>
      </c>
      <c r="T184" s="18"/>
      <c r="U184" s="19"/>
      <c r="V184" s="4"/>
      <c r="W184" s="19"/>
    </row>
    <row r="185" spans="1:23" ht="18">
      <c r="B185" t="b">
        <f>_xlfn.XOR($A178,B180)</f>
        <v>1</v>
      </c>
      <c r="C185" t="b">
        <f>_xlfn.XOR($A179,C180)</f>
        <v>1</v>
      </c>
      <c r="D185" t="b">
        <f>_xlfn.XOR($A180,D180)</f>
        <v>1</v>
      </c>
      <c r="E185">
        <f t="shared" si="106"/>
        <v>1</v>
      </c>
      <c r="F185" t="b">
        <f>OR(J186:J187)</f>
        <v>1</v>
      </c>
      <c r="H185" s="1" t="s">
        <v>56</v>
      </c>
      <c r="N185" t="b">
        <f>_xlfn.XOR($L178,$N180)</f>
        <v>1</v>
      </c>
      <c r="O185" t="b">
        <f>_xlfn.XOR($L179,$O180)</f>
        <v>1</v>
      </c>
      <c r="Q185" t="b">
        <f t="shared" si="108"/>
        <v>1</v>
      </c>
      <c r="R185" t="b">
        <f t="shared" si="108"/>
        <v>1</v>
      </c>
      <c r="S185" s="22">
        <f t="shared" si="109"/>
        <v>1</v>
      </c>
      <c r="T185" s="18"/>
      <c r="U185" s="19"/>
      <c r="V185" s="4"/>
      <c r="W185" s="19"/>
    </row>
    <row r="186" spans="1:23" ht="13">
      <c r="B186" s="1" t="s">
        <v>99</v>
      </c>
      <c r="H186" t="b">
        <f t="shared" ref="H186:J187" si="110">AND($L183,(_xlfn.XOR(H183,NOT($L178))))</f>
        <v>0</v>
      </c>
      <c r="I186" t="b">
        <f t="shared" si="110"/>
        <v>0</v>
      </c>
      <c r="J186" t="b">
        <f t="shared" si="110"/>
        <v>1</v>
      </c>
      <c r="T186" s="18"/>
      <c r="U186" s="8"/>
      <c r="V186" s="18"/>
      <c r="W186" s="18"/>
    </row>
    <row r="187" spans="1:23" ht="13">
      <c r="B187" t="b">
        <f t="shared" ref="B187:D189" si="111">AND($F183,(_xlfn.XOR(B183,NOT($F178))))</f>
        <v>1</v>
      </c>
      <c r="C187" t="b">
        <f t="shared" si="111"/>
        <v>1</v>
      </c>
      <c r="D187" t="b">
        <f t="shared" si="111"/>
        <v>1</v>
      </c>
      <c r="H187" t="b">
        <f t="shared" si="110"/>
        <v>1</v>
      </c>
      <c r="I187" t="b">
        <f t="shared" si="110"/>
        <v>0</v>
      </c>
      <c r="J187" t="b">
        <f t="shared" si="110"/>
        <v>0</v>
      </c>
      <c r="T187" s="18"/>
      <c r="U187" s="8"/>
      <c r="V187" s="18"/>
      <c r="W187" s="19"/>
    </row>
    <row r="188" spans="1:23" ht="13">
      <c r="A188" s="2"/>
      <c r="B188" t="b">
        <f t="shared" si="111"/>
        <v>0</v>
      </c>
      <c r="C188" t="b">
        <f t="shared" si="111"/>
        <v>0</v>
      </c>
      <c r="D188" t="b">
        <f t="shared" si="111"/>
        <v>0</v>
      </c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18"/>
      <c r="U188" s="8"/>
      <c r="V188" s="18"/>
      <c r="W188" s="19"/>
    </row>
    <row r="189" spans="1:23" ht="13">
      <c r="A189" s="2"/>
      <c r="B189" t="b">
        <f t="shared" si="111"/>
        <v>1</v>
      </c>
      <c r="C189" t="b">
        <f t="shared" si="111"/>
        <v>1</v>
      </c>
      <c r="D189" t="b">
        <f t="shared" si="111"/>
        <v>1</v>
      </c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18"/>
      <c r="U189" s="8"/>
      <c r="V189" s="18"/>
      <c r="W189" s="19"/>
    </row>
    <row r="190" spans="1:23" ht="13"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9"/>
      <c r="Q190" s="19"/>
      <c r="R190" s="19"/>
      <c r="S190" s="18"/>
      <c r="T190" s="18"/>
      <c r="U190" s="8"/>
      <c r="V190" s="18"/>
      <c r="W190" s="19"/>
    </row>
    <row r="191" spans="1:23" ht="13">
      <c r="A191" s="2" t="s">
        <v>100</v>
      </c>
      <c r="B191" s="39" t="s">
        <v>27</v>
      </c>
      <c r="C191" s="38"/>
      <c r="D191" s="38"/>
      <c r="E191" s="2" t="s">
        <v>28</v>
      </c>
      <c r="F191" s="2" t="s">
        <v>29</v>
      </c>
      <c r="G191" s="6"/>
      <c r="H191" s="39" t="s">
        <v>30</v>
      </c>
      <c r="I191" s="38"/>
      <c r="J191" s="38"/>
      <c r="K191" s="2" t="s">
        <v>31</v>
      </c>
      <c r="L191" s="2" t="s">
        <v>37</v>
      </c>
      <c r="N191" s="39" t="s">
        <v>38</v>
      </c>
      <c r="O191" s="38"/>
      <c r="P191" s="2" t="s">
        <v>39</v>
      </c>
      <c r="Q191" s="2" t="s">
        <v>32</v>
      </c>
      <c r="R191" s="2" t="s">
        <v>101</v>
      </c>
      <c r="S191" s="2" t="s">
        <v>34</v>
      </c>
      <c r="T191" s="18"/>
      <c r="U191" s="8"/>
      <c r="V191" s="18"/>
      <c r="W191" s="18"/>
    </row>
    <row r="192" spans="1:23" ht="13">
      <c r="A192" s="1">
        <f>$D$8</f>
        <v>1</v>
      </c>
      <c r="B192" s="1">
        <v>1</v>
      </c>
      <c r="C192" s="1">
        <v>0</v>
      </c>
      <c r="D192" s="1">
        <v>0</v>
      </c>
      <c r="E192" s="1">
        <v>3</v>
      </c>
      <c r="F192" t="b">
        <f t="shared" ref="F192:F194" si="112">COUNTIF(B197:D197, TRUE)&gt;=E192</f>
        <v>0</v>
      </c>
      <c r="H192" s="1">
        <v>1</v>
      </c>
      <c r="I192" s="1">
        <v>0</v>
      </c>
      <c r="J192" s="1">
        <v>0</v>
      </c>
      <c r="K192" s="1">
        <v>1</v>
      </c>
      <c r="L192" t="b">
        <f t="shared" ref="L192:L193" si="113">COUNTIF(H197:J197, TRUE)&gt;=K192</f>
        <v>1</v>
      </c>
      <c r="N192" s="17" t="b">
        <f t="shared" ref="N192:N194" si="114">IF(Q183,NOT(N178),N178)</f>
        <v>0</v>
      </c>
      <c r="O192" s="1">
        <v>0</v>
      </c>
      <c r="P192" s="1">
        <v>2</v>
      </c>
      <c r="Q192" t="b">
        <f t="shared" ref="Q192:Q194" si="115">COUNTIF(N197:O197, TRUE)&gt;=P192</f>
        <v>0</v>
      </c>
      <c r="R192">
        <f>$H$8</f>
        <v>0</v>
      </c>
      <c r="S192" t="b">
        <f>_xlfn.XOR(Q192,R192)</f>
        <v>0</v>
      </c>
      <c r="U192" s="8"/>
      <c r="V192" s="18"/>
      <c r="W192" s="18"/>
    </row>
    <row r="193" spans="1:23" ht="13">
      <c r="A193" s="1">
        <f>$E$8</f>
        <v>0</v>
      </c>
      <c r="B193" s="1">
        <v>0</v>
      </c>
      <c r="C193" s="1">
        <v>1</v>
      </c>
      <c r="D193" s="1">
        <v>0</v>
      </c>
      <c r="E193" s="1">
        <v>2</v>
      </c>
      <c r="F193" t="b">
        <f t="shared" si="112"/>
        <v>1</v>
      </c>
      <c r="H193" s="1">
        <v>1</v>
      </c>
      <c r="I193" s="1">
        <v>1</v>
      </c>
      <c r="J193" s="1">
        <v>0</v>
      </c>
      <c r="K193" s="1">
        <v>3</v>
      </c>
      <c r="L193" t="b">
        <f t="shared" si="113"/>
        <v>0</v>
      </c>
      <c r="N193" s="17">
        <f t="shared" si="114"/>
        <v>1</v>
      </c>
      <c r="O193" s="1">
        <v>0</v>
      </c>
      <c r="P193" s="1">
        <v>1</v>
      </c>
      <c r="Q193" t="b">
        <f t="shared" si="115"/>
        <v>0</v>
      </c>
      <c r="R193">
        <f>$I$8</f>
        <v>1</v>
      </c>
      <c r="S193" t="b">
        <f>_xlfn.XOR(Q193,R193)</f>
        <v>1</v>
      </c>
      <c r="T193" s="18"/>
      <c r="U193" s="8"/>
      <c r="V193" s="18"/>
      <c r="W193" s="18"/>
    </row>
    <row r="194" spans="1:23" ht="13">
      <c r="A194">
        <f>$F$8</f>
        <v>1</v>
      </c>
      <c r="B194" s="1">
        <v>1</v>
      </c>
      <c r="C194" s="1">
        <v>0</v>
      </c>
      <c r="D194" s="1">
        <v>0</v>
      </c>
      <c r="E194" s="1">
        <v>2</v>
      </c>
      <c r="F194" t="b">
        <f t="shared" si="112"/>
        <v>0</v>
      </c>
      <c r="N194" s="17" t="b">
        <f t="shared" si="114"/>
        <v>1</v>
      </c>
      <c r="O194" s="1">
        <v>1</v>
      </c>
      <c r="P194" s="1">
        <v>2</v>
      </c>
      <c r="Q194" t="b">
        <f t="shared" si="115"/>
        <v>0</v>
      </c>
      <c r="R194">
        <f>$J$8</f>
        <v>0</v>
      </c>
      <c r="S194" t="b">
        <f>_xlfn.XOR(Q194,R194)</f>
        <v>0</v>
      </c>
      <c r="U194" s="8"/>
    </row>
    <row r="195" spans="1:23" ht="13">
      <c r="T195" s="18"/>
      <c r="U195" s="18"/>
      <c r="V195" s="18"/>
      <c r="W195" s="18"/>
    </row>
    <row r="196" spans="1:23" ht="13">
      <c r="B196" s="1" t="s">
        <v>182</v>
      </c>
      <c r="E196" s="1" t="s">
        <v>67</v>
      </c>
      <c r="F196" s="1" t="s">
        <v>34</v>
      </c>
      <c r="H196" s="1" t="s">
        <v>183</v>
      </c>
      <c r="K196" s="1" t="s">
        <v>76</v>
      </c>
      <c r="L196" s="1" t="s">
        <v>44</v>
      </c>
      <c r="N196" s="1" t="s">
        <v>184</v>
      </c>
      <c r="Q196" s="1" t="s">
        <v>70</v>
      </c>
      <c r="S196" s="1" t="s">
        <v>102</v>
      </c>
      <c r="T196" s="18"/>
      <c r="U196" s="18"/>
      <c r="V196" s="18"/>
      <c r="W196" s="18"/>
    </row>
    <row r="197" spans="1:23" ht="18">
      <c r="B197" t="b">
        <f>_xlfn.XOR($A192,B192)</f>
        <v>0</v>
      </c>
      <c r="C197" t="b">
        <f>_xlfn.XOR($A193,C192)</f>
        <v>0</v>
      </c>
      <c r="D197" t="b">
        <f>_xlfn.XOR($A194,D192)</f>
        <v>1</v>
      </c>
      <c r="E197">
        <f t="shared" ref="E197:E199" si="116">IF(F197,IF(F192,1,-1),0)</f>
        <v>-1</v>
      </c>
      <c r="F197" t="b">
        <f>OR(H200:H201)</f>
        <v>1</v>
      </c>
      <c r="H197" t="b">
        <f>_xlfn.XOR($F192,$H192)</f>
        <v>1</v>
      </c>
      <c r="I197" t="b">
        <f>_xlfn.XOR($F193,$I192)</f>
        <v>1</v>
      </c>
      <c r="J197" t="b">
        <f>_xlfn.XOR($F194,$J192)</f>
        <v>0</v>
      </c>
      <c r="K197">
        <f t="shared" ref="K197:K198" si="117">IF(L197,IF(L192,1,-1),0)</f>
        <v>1</v>
      </c>
      <c r="L197" t="b">
        <f>OR(Q197:Q199)</f>
        <v>1</v>
      </c>
      <c r="N197" t="b">
        <f>_xlfn.XOR($L192,$N192)</f>
        <v>1</v>
      </c>
      <c r="O197" t="b">
        <f>_xlfn.XOR($L193,$O192)</f>
        <v>0</v>
      </c>
      <c r="Q197" t="b">
        <f t="shared" ref="Q197:R199" si="118">AND($S192,(_xlfn.XOR(N197,NOT($Q192))))</f>
        <v>0</v>
      </c>
      <c r="R197" t="b">
        <f t="shared" si="118"/>
        <v>0</v>
      </c>
      <c r="S197" s="22">
        <f t="shared" ref="S197:S199" si="119">IF($S192,IF(Q192,1,-1),0)</f>
        <v>0</v>
      </c>
      <c r="T197" s="1" t="s">
        <v>148</v>
      </c>
      <c r="U197" s="19"/>
      <c r="V197" s="4"/>
      <c r="W197" s="19"/>
    </row>
    <row r="198" spans="1:23" ht="18">
      <c r="B198" t="b">
        <f>_xlfn.XOR($A192,B193)</f>
        <v>1</v>
      </c>
      <c r="C198" t="b">
        <f>_xlfn.XOR($A193,C193)</f>
        <v>1</v>
      </c>
      <c r="D198" t="b">
        <f>_xlfn.XOR($A194,D193)</f>
        <v>1</v>
      </c>
      <c r="E198">
        <f t="shared" si="116"/>
        <v>1</v>
      </c>
      <c r="F198" t="b">
        <f>OR(I200:I201)</f>
        <v>1</v>
      </c>
      <c r="H198" t="b">
        <f>_xlfn.XOR($F192,$H193)</f>
        <v>1</v>
      </c>
      <c r="I198" t="b">
        <f>_xlfn.XOR($F193,$I193)</f>
        <v>0</v>
      </c>
      <c r="J198" t="b">
        <f>_xlfn.XOR($F194,$J193)</f>
        <v>0</v>
      </c>
      <c r="K198">
        <f t="shared" si="117"/>
        <v>-1</v>
      </c>
      <c r="L198" t="b">
        <f>OR(R197:R199)</f>
        <v>1</v>
      </c>
      <c r="N198" t="b">
        <f>_xlfn.XOR($L192,$N193)</f>
        <v>0</v>
      </c>
      <c r="O198" t="b">
        <f>_xlfn.XOR($L193,$O193)</f>
        <v>0</v>
      </c>
      <c r="Q198" t="b">
        <f t="shared" si="118"/>
        <v>1</v>
      </c>
      <c r="R198" t="b">
        <f t="shared" si="118"/>
        <v>1</v>
      </c>
      <c r="S198" s="22">
        <f t="shared" si="119"/>
        <v>-1</v>
      </c>
      <c r="T198" s="20"/>
      <c r="U198" s="19"/>
      <c r="V198" s="4"/>
      <c r="W198" s="19"/>
    </row>
    <row r="199" spans="1:23" ht="18">
      <c r="B199" t="b">
        <f>_xlfn.XOR($A192,B194)</f>
        <v>0</v>
      </c>
      <c r="C199" t="b">
        <f>_xlfn.XOR($A193,C194)</f>
        <v>0</v>
      </c>
      <c r="D199" t="b">
        <f>_xlfn.XOR($A194,D194)</f>
        <v>1</v>
      </c>
      <c r="E199">
        <f t="shared" si="116"/>
        <v>-1</v>
      </c>
      <c r="F199" t="b">
        <f>OR(J200:J201)</f>
        <v>1</v>
      </c>
      <c r="H199" s="1" t="s">
        <v>56</v>
      </c>
      <c r="N199" t="b">
        <f>_xlfn.XOR($L192,$N194)</f>
        <v>0</v>
      </c>
      <c r="O199" t="b">
        <f>_xlfn.XOR($L193,$O194)</f>
        <v>1</v>
      </c>
      <c r="Q199" t="b">
        <f t="shared" si="118"/>
        <v>0</v>
      </c>
      <c r="R199" t="b">
        <f t="shared" si="118"/>
        <v>0</v>
      </c>
      <c r="S199" s="22">
        <f t="shared" si="119"/>
        <v>0</v>
      </c>
      <c r="T199" s="18"/>
      <c r="U199" s="19"/>
      <c r="V199" s="4"/>
      <c r="W199" s="19"/>
    </row>
    <row r="200" spans="1:23" ht="13">
      <c r="B200" s="1" t="s">
        <v>99</v>
      </c>
      <c r="H200" t="b">
        <f t="shared" ref="H200:J201" si="120">AND($L197,(_xlfn.XOR(H197,NOT($L192))))</f>
        <v>1</v>
      </c>
      <c r="I200" t="b">
        <f t="shared" si="120"/>
        <v>1</v>
      </c>
      <c r="J200" t="b">
        <f t="shared" si="120"/>
        <v>0</v>
      </c>
      <c r="T200" s="18"/>
      <c r="U200" s="19"/>
      <c r="V200" s="8"/>
      <c r="W200" s="19"/>
    </row>
    <row r="201" spans="1:23" ht="13">
      <c r="B201" t="b">
        <f t="shared" ref="B201:D203" si="121">AND($F197,(_xlfn.XOR(B197,NOT($F192))))</f>
        <v>1</v>
      </c>
      <c r="C201" t="b">
        <f t="shared" si="121"/>
        <v>1</v>
      </c>
      <c r="D201" t="b">
        <f t="shared" si="121"/>
        <v>0</v>
      </c>
      <c r="H201" t="b">
        <f t="shared" si="120"/>
        <v>0</v>
      </c>
      <c r="I201" t="b">
        <f t="shared" si="120"/>
        <v>1</v>
      </c>
      <c r="J201" t="b">
        <f t="shared" si="120"/>
        <v>1</v>
      </c>
      <c r="T201" s="18"/>
      <c r="U201" s="8"/>
      <c r="V201" s="8"/>
      <c r="W201" s="18"/>
    </row>
    <row r="202" spans="1:23" ht="13">
      <c r="A202" s="2"/>
      <c r="B202" t="b">
        <f t="shared" si="121"/>
        <v>1</v>
      </c>
      <c r="C202" t="b">
        <f t="shared" si="121"/>
        <v>1</v>
      </c>
      <c r="D202" t="b">
        <f t="shared" si="121"/>
        <v>1</v>
      </c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18"/>
      <c r="U202" s="8"/>
      <c r="V202" s="8"/>
      <c r="W202" s="19"/>
    </row>
    <row r="203" spans="1:23" ht="13">
      <c r="A203" s="2"/>
      <c r="B203" t="b">
        <f t="shared" si="121"/>
        <v>1</v>
      </c>
      <c r="C203" t="b">
        <f t="shared" si="121"/>
        <v>1</v>
      </c>
      <c r="D203" t="b">
        <f t="shared" si="121"/>
        <v>0</v>
      </c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18"/>
      <c r="U203" s="8"/>
      <c r="V203" s="8"/>
      <c r="W203" s="19"/>
    </row>
    <row r="204" spans="1:23" ht="13">
      <c r="B204" s="18"/>
      <c r="C204" s="18"/>
      <c r="D204" s="18"/>
      <c r="E204" s="18"/>
      <c r="F204" s="18"/>
      <c r="G204" s="18"/>
      <c r="H204" s="18"/>
      <c r="I204" s="19"/>
      <c r="J204" s="19"/>
      <c r="K204" s="18"/>
      <c r="M204" s="18"/>
      <c r="N204" s="19"/>
      <c r="O204" s="18"/>
      <c r="P204" s="19"/>
      <c r="Q204" s="19"/>
      <c r="R204" s="19"/>
      <c r="S204" s="18"/>
      <c r="T204" s="18"/>
      <c r="U204" s="8"/>
      <c r="V204" s="8"/>
      <c r="W204" s="19"/>
    </row>
    <row r="205" spans="1:23" ht="13">
      <c r="A205" s="2" t="s">
        <v>104</v>
      </c>
      <c r="B205" s="39" t="s">
        <v>27</v>
      </c>
      <c r="C205" s="38"/>
      <c r="D205" s="38"/>
      <c r="E205" s="2" t="s">
        <v>28</v>
      </c>
      <c r="F205" s="2" t="s">
        <v>29</v>
      </c>
      <c r="G205" s="6"/>
      <c r="H205" s="39" t="s">
        <v>30</v>
      </c>
      <c r="I205" s="38"/>
      <c r="J205" s="38"/>
      <c r="K205" s="2" t="s">
        <v>31</v>
      </c>
      <c r="L205" s="2" t="s">
        <v>37</v>
      </c>
      <c r="N205" s="39" t="s">
        <v>38</v>
      </c>
      <c r="O205" s="38"/>
      <c r="P205" s="2" t="s">
        <v>39</v>
      </c>
      <c r="Q205" s="2" t="s">
        <v>32</v>
      </c>
      <c r="R205" s="2" t="s">
        <v>105</v>
      </c>
      <c r="S205" s="2" t="s">
        <v>34</v>
      </c>
      <c r="T205" s="18"/>
      <c r="U205" s="8"/>
      <c r="V205" s="8"/>
      <c r="W205" s="19"/>
    </row>
    <row r="206" spans="1:23" ht="13">
      <c r="A206" s="1">
        <f>$D$9</f>
        <v>1</v>
      </c>
      <c r="B206" s="1">
        <v>1</v>
      </c>
      <c r="C206" s="1">
        <v>0</v>
      </c>
      <c r="D206" s="1">
        <v>0</v>
      </c>
      <c r="E206" s="1">
        <v>3</v>
      </c>
      <c r="F206" t="b">
        <f t="shared" ref="F206:F208" si="122">COUNTIF(B211:D211, TRUE)&gt;=E206</f>
        <v>0</v>
      </c>
      <c r="H206" s="1">
        <v>1</v>
      </c>
      <c r="I206" s="1">
        <v>0</v>
      </c>
      <c r="J206" s="1">
        <v>0</v>
      </c>
      <c r="K206" s="1">
        <v>1</v>
      </c>
      <c r="L206" t="b">
        <f t="shared" ref="L206:L207" si="123">COUNTIF(H211:J211, TRUE)&gt;=K206</f>
        <v>1</v>
      </c>
      <c r="N206" s="14">
        <v>0</v>
      </c>
      <c r="O206" s="1">
        <v>0</v>
      </c>
      <c r="P206" s="1">
        <v>2</v>
      </c>
      <c r="Q206" t="b">
        <f t="shared" ref="Q206:Q208" si="124">COUNTIF(N211:O211, TRUE)&gt;=P206</f>
        <v>1</v>
      </c>
      <c r="R206">
        <f>$H$9</f>
        <v>0</v>
      </c>
      <c r="S206" t="b">
        <f>_xlfn.XOR(Q206,R206)</f>
        <v>1</v>
      </c>
      <c r="U206" s="8"/>
      <c r="V206" s="8"/>
      <c r="W206" s="18"/>
    </row>
    <row r="207" spans="1:23" ht="13">
      <c r="A207" s="1">
        <f>$E$9</f>
        <v>1</v>
      </c>
      <c r="B207" s="1">
        <v>0</v>
      </c>
      <c r="C207" s="1">
        <v>1</v>
      </c>
      <c r="D207" s="1">
        <v>0</v>
      </c>
      <c r="E207" s="1">
        <v>2</v>
      </c>
      <c r="F207" t="b">
        <f t="shared" si="122"/>
        <v>1</v>
      </c>
      <c r="H207" s="1">
        <v>1</v>
      </c>
      <c r="I207" s="1">
        <v>1</v>
      </c>
      <c r="J207" s="1">
        <v>0</v>
      </c>
      <c r="K207" s="17">
        <f>K193+K198</f>
        <v>2</v>
      </c>
      <c r="L207" t="b">
        <f t="shared" si="123"/>
        <v>1</v>
      </c>
      <c r="N207" s="14">
        <v>1</v>
      </c>
      <c r="O207" s="1">
        <v>0</v>
      </c>
      <c r="P207" s="1">
        <v>1</v>
      </c>
      <c r="Q207" t="b">
        <f t="shared" si="124"/>
        <v>1</v>
      </c>
      <c r="R207">
        <f>$I$9</f>
        <v>0</v>
      </c>
      <c r="S207" t="b">
        <f>_xlfn.XOR(Q207,R207)</f>
        <v>1</v>
      </c>
      <c r="T207" s="18"/>
      <c r="U207" s="8"/>
      <c r="V207" s="8"/>
      <c r="W207" s="18"/>
    </row>
    <row r="208" spans="1:23" ht="13">
      <c r="A208">
        <f>$F$9</f>
        <v>1</v>
      </c>
      <c r="B208" s="1">
        <v>1</v>
      </c>
      <c r="C208" s="1">
        <v>0</v>
      </c>
      <c r="D208" s="1">
        <v>0</v>
      </c>
      <c r="E208" s="1">
        <v>2</v>
      </c>
      <c r="F208" t="b">
        <f t="shared" si="122"/>
        <v>1</v>
      </c>
      <c r="N208" s="14">
        <v>1</v>
      </c>
      <c r="O208" s="1">
        <v>1</v>
      </c>
      <c r="P208" s="1">
        <v>2</v>
      </c>
      <c r="Q208" t="b">
        <f t="shared" si="124"/>
        <v>0</v>
      </c>
      <c r="R208">
        <f>$J$9</f>
        <v>1</v>
      </c>
      <c r="S208" t="b">
        <f>_xlfn.XOR(Q208,R208)</f>
        <v>1</v>
      </c>
      <c r="T208" s="18"/>
      <c r="U208" s="8"/>
      <c r="V208" s="8"/>
      <c r="W208" s="18"/>
    </row>
    <row r="209" spans="1:23" ht="13">
      <c r="U209" s="8"/>
    </row>
    <row r="210" spans="1:23" ht="13">
      <c r="B210" s="1" t="s">
        <v>182</v>
      </c>
      <c r="E210" s="1" t="s">
        <v>67</v>
      </c>
      <c r="F210" s="1" t="s">
        <v>34</v>
      </c>
      <c r="H210" s="1" t="s">
        <v>183</v>
      </c>
      <c r="K210" s="1" t="s">
        <v>76</v>
      </c>
      <c r="L210" s="1" t="s">
        <v>44</v>
      </c>
      <c r="N210" s="1" t="s">
        <v>184</v>
      </c>
      <c r="Q210" s="1" t="s">
        <v>70</v>
      </c>
      <c r="S210" s="1" t="s">
        <v>102</v>
      </c>
      <c r="T210" s="18"/>
      <c r="U210" s="18"/>
      <c r="V210" s="18"/>
      <c r="W210" s="18"/>
    </row>
    <row r="211" spans="1:23" ht="18">
      <c r="B211" t="b">
        <f>_xlfn.XOR($A206,B206)</f>
        <v>0</v>
      </c>
      <c r="C211" t="b">
        <f>_xlfn.XOR($A207,C206)</f>
        <v>1</v>
      </c>
      <c r="D211" t="b">
        <f>_xlfn.XOR($A208,D206)</f>
        <v>1</v>
      </c>
      <c r="E211">
        <f t="shared" ref="E211:E213" si="125">IF(F211,IF(F206,1,-1),0)</f>
        <v>-1</v>
      </c>
      <c r="F211" t="b">
        <f>OR(H214:H215)</f>
        <v>1</v>
      </c>
      <c r="H211" t="b">
        <f>_xlfn.XOR($F206,$H206)</f>
        <v>1</v>
      </c>
      <c r="I211" t="b">
        <f>_xlfn.XOR($F207,$I206)</f>
        <v>1</v>
      </c>
      <c r="J211" t="b">
        <f>_xlfn.XOR($F208,$J206)</f>
        <v>1</v>
      </c>
      <c r="K211">
        <f t="shared" ref="K211:K212" si="126">IF(L211,IF(L206,1,-1),0)</f>
        <v>1</v>
      </c>
      <c r="L211" t="b">
        <f>OR(Q211:Q213)</f>
        <v>1</v>
      </c>
      <c r="N211" t="b">
        <f>_xlfn.XOR($L206,$N206)</f>
        <v>1</v>
      </c>
      <c r="O211" t="b">
        <f>_xlfn.XOR($L207,$O206)</f>
        <v>1</v>
      </c>
      <c r="Q211" t="b">
        <f t="shared" ref="Q211:R213" si="127">AND($S206,(_xlfn.XOR(N211,NOT($Q206))))</f>
        <v>1</v>
      </c>
      <c r="R211" t="b">
        <f t="shared" si="127"/>
        <v>1</v>
      </c>
      <c r="S211" s="22">
        <f t="shared" ref="S211:S213" si="128">IF($S206,IF(Q206,1,-1),0)</f>
        <v>1</v>
      </c>
      <c r="T211" s="1" t="s">
        <v>151</v>
      </c>
      <c r="U211" s="18"/>
      <c r="V211" s="18"/>
      <c r="W211" s="18"/>
    </row>
    <row r="212" spans="1:23" ht="18">
      <c r="B212" t="b">
        <f>_xlfn.XOR($A206,B207)</f>
        <v>1</v>
      </c>
      <c r="C212" t="b">
        <f>_xlfn.XOR($A207,C207)</f>
        <v>0</v>
      </c>
      <c r="D212" t="b">
        <f>_xlfn.XOR($A208,D207)</f>
        <v>1</v>
      </c>
      <c r="E212">
        <f t="shared" si="125"/>
        <v>1</v>
      </c>
      <c r="F212" t="b">
        <f>OR(I214:I215)</f>
        <v>1</v>
      </c>
      <c r="H212" t="b">
        <f>_xlfn.XOR($F206,$H207)</f>
        <v>1</v>
      </c>
      <c r="I212" t="b">
        <f>_xlfn.XOR($F207,$I207)</f>
        <v>0</v>
      </c>
      <c r="J212" t="b">
        <f>_xlfn.XOR($F208,$J207)</f>
        <v>1</v>
      </c>
      <c r="K212">
        <f t="shared" si="126"/>
        <v>1</v>
      </c>
      <c r="L212" t="b">
        <f>OR(R211:R213)</f>
        <v>1</v>
      </c>
      <c r="N212" t="b">
        <f>_xlfn.XOR($L206,$N207)</f>
        <v>0</v>
      </c>
      <c r="O212" t="b">
        <f>_xlfn.XOR($L207,$O207)</f>
        <v>1</v>
      </c>
      <c r="Q212" t="b">
        <f t="shared" si="127"/>
        <v>0</v>
      </c>
      <c r="R212" t="b">
        <f t="shared" si="127"/>
        <v>1</v>
      </c>
      <c r="S212" s="22">
        <f t="shared" si="128"/>
        <v>1</v>
      </c>
      <c r="T212" s="18"/>
      <c r="U212" s="19"/>
      <c r="V212" s="4"/>
      <c r="W212" s="19"/>
    </row>
    <row r="213" spans="1:23" ht="18">
      <c r="B213" t="b">
        <f>_xlfn.XOR($A206,B208)</f>
        <v>0</v>
      </c>
      <c r="C213" t="b">
        <f>_xlfn.XOR($A207,C208)</f>
        <v>1</v>
      </c>
      <c r="D213" t="b">
        <f>_xlfn.XOR($A208,D208)</f>
        <v>1</v>
      </c>
      <c r="E213">
        <f t="shared" si="125"/>
        <v>1</v>
      </c>
      <c r="F213" t="b">
        <f>OR(J214:J215)</f>
        <v>1</v>
      </c>
      <c r="H213" s="1" t="s">
        <v>56</v>
      </c>
      <c r="N213" t="b">
        <f>_xlfn.XOR($L206,$N208)</f>
        <v>0</v>
      </c>
      <c r="O213" t="b">
        <f>_xlfn.XOR($L207,$O208)</f>
        <v>0</v>
      </c>
      <c r="Q213" t="b">
        <f t="shared" si="127"/>
        <v>1</v>
      </c>
      <c r="R213" t="b">
        <f t="shared" si="127"/>
        <v>1</v>
      </c>
      <c r="S213" s="22">
        <f t="shared" si="128"/>
        <v>-1</v>
      </c>
      <c r="T213" s="18"/>
      <c r="U213" s="27"/>
      <c r="V213" s="4"/>
      <c r="W213" s="19"/>
    </row>
    <row r="214" spans="1:23" ht="13">
      <c r="B214" s="1" t="s">
        <v>99</v>
      </c>
      <c r="H214" t="b">
        <f t="shared" ref="H214:J215" si="129">AND($L211,(_xlfn.XOR(H211,NOT($L206))))</f>
        <v>1</v>
      </c>
      <c r="I214" t="b">
        <f t="shared" si="129"/>
        <v>1</v>
      </c>
      <c r="J214" t="b">
        <f t="shared" si="129"/>
        <v>1</v>
      </c>
      <c r="T214" s="18"/>
      <c r="U214" s="8"/>
      <c r="V214" s="4"/>
      <c r="W214" s="19"/>
    </row>
    <row r="215" spans="1:23" ht="13">
      <c r="B215" t="b">
        <f t="shared" ref="B215:D217" si="130">AND($F211,(_xlfn.XOR(B211,NOT($F206))))</f>
        <v>1</v>
      </c>
      <c r="C215" t="b">
        <f t="shared" si="130"/>
        <v>0</v>
      </c>
      <c r="D215" t="b">
        <f t="shared" si="130"/>
        <v>0</v>
      </c>
      <c r="H215" t="b">
        <f t="shared" si="129"/>
        <v>1</v>
      </c>
      <c r="I215" t="b">
        <f t="shared" si="129"/>
        <v>0</v>
      </c>
      <c r="J215" t="b">
        <f t="shared" si="129"/>
        <v>1</v>
      </c>
      <c r="T215" s="18"/>
      <c r="U215" s="8"/>
      <c r="V215" s="4"/>
      <c r="W215" s="19"/>
    </row>
    <row r="216" spans="1:23" ht="13">
      <c r="A216" s="2"/>
      <c r="B216" t="b">
        <f t="shared" si="130"/>
        <v>1</v>
      </c>
      <c r="C216" t="b">
        <f t="shared" si="130"/>
        <v>0</v>
      </c>
      <c r="D216" t="b">
        <f t="shared" si="130"/>
        <v>1</v>
      </c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18"/>
      <c r="U216" s="8"/>
      <c r="V216" s="18"/>
      <c r="W216" s="18"/>
    </row>
    <row r="217" spans="1:23" ht="13">
      <c r="A217" s="2"/>
      <c r="B217" t="b">
        <f t="shared" si="130"/>
        <v>0</v>
      </c>
      <c r="C217" t="b">
        <f t="shared" si="130"/>
        <v>1</v>
      </c>
      <c r="D217" t="b">
        <f t="shared" si="130"/>
        <v>1</v>
      </c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18"/>
      <c r="U217" s="8"/>
      <c r="V217" s="18"/>
      <c r="W217" s="19"/>
    </row>
    <row r="218" spans="1:23" ht="13">
      <c r="B218" s="19"/>
      <c r="C218" s="19"/>
      <c r="D218" s="19"/>
      <c r="F218" s="18"/>
      <c r="G218" s="19"/>
      <c r="H218" s="18"/>
      <c r="I218" s="19"/>
      <c r="J218" s="19"/>
      <c r="K218" s="18"/>
      <c r="M218" s="18"/>
      <c r="N218" s="19"/>
      <c r="O218" s="18"/>
      <c r="P218" s="19"/>
      <c r="Q218" s="19"/>
      <c r="R218" s="19"/>
      <c r="S218" s="18"/>
      <c r="T218" s="18"/>
      <c r="U218" s="8"/>
      <c r="V218" s="18"/>
      <c r="W218" s="19"/>
    </row>
    <row r="219" spans="1:23" ht="13">
      <c r="A219" s="2" t="s">
        <v>26</v>
      </c>
      <c r="B219" s="39" t="s">
        <v>27</v>
      </c>
      <c r="C219" s="38"/>
      <c r="D219" s="38"/>
      <c r="E219" s="2" t="s">
        <v>28</v>
      </c>
      <c r="F219" s="2" t="s">
        <v>29</v>
      </c>
      <c r="G219" s="6"/>
      <c r="H219" s="39" t="s">
        <v>30</v>
      </c>
      <c r="I219" s="38"/>
      <c r="J219" s="38"/>
      <c r="K219" s="2" t="s">
        <v>31</v>
      </c>
      <c r="L219" s="2" t="s">
        <v>37</v>
      </c>
      <c r="N219" s="39" t="s">
        <v>38</v>
      </c>
      <c r="O219" s="38"/>
      <c r="P219" s="2" t="s">
        <v>39</v>
      </c>
      <c r="Q219" s="2" t="s">
        <v>32</v>
      </c>
      <c r="R219" s="2" t="s">
        <v>33</v>
      </c>
      <c r="S219" s="2" t="s">
        <v>34</v>
      </c>
      <c r="T219" s="18"/>
      <c r="U219" s="8"/>
      <c r="V219" s="18"/>
      <c r="W219" s="19"/>
    </row>
    <row r="220" spans="1:23" ht="13">
      <c r="A220" s="1">
        <f>$D$2</f>
        <v>0</v>
      </c>
      <c r="B220" s="1">
        <v>1</v>
      </c>
      <c r="C220" s="1">
        <v>0</v>
      </c>
      <c r="D220" s="1">
        <v>0</v>
      </c>
      <c r="E220" s="1">
        <v>3</v>
      </c>
      <c r="F220" t="b">
        <f t="shared" ref="F220:F222" si="131">COUNTIF(B225:D225, TRUE)&gt;=E220</f>
        <v>0</v>
      </c>
      <c r="H220" s="1">
        <v>1</v>
      </c>
      <c r="I220" s="1">
        <v>0</v>
      </c>
      <c r="J220" s="17" t="b">
        <f t="shared" ref="J220:J221" si="132">IF(J214,NOT(J206),J206)</f>
        <v>1</v>
      </c>
      <c r="K220" s="1">
        <v>1</v>
      </c>
      <c r="L220" t="b">
        <f t="shared" ref="L220:L221" si="133">COUNTIF(H225:J225, TRUE)&gt;=K220</f>
        <v>1</v>
      </c>
      <c r="N220" s="14">
        <v>0</v>
      </c>
      <c r="O220" s="1">
        <v>0</v>
      </c>
      <c r="P220" s="1">
        <v>2</v>
      </c>
      <c r="Q220" t="b">
        <f t="shared" ref="Q220:Q222" si="134">COUNTIF(N225:O225, TRUE)&gt;=P220</f>
        <v>1</v>
      </c>
      <c r="R220">
        <f>$H$2</f>
        <v>0</v>
      </c>
      <c r="S220" t="b">
        <f>_xlfn.XOR(Q220,R220)</f>
        <v>1</v>
      </c>
      <c r="T220" s="18"/>
      <c r="U220" s="8"/>
      <c r="V220" s="18"/>
      <c r="W220" s="19"/>
    </row>
    <row r="221" spans="1:23" ht="13">
      <c r="A221" s="1">
        <f>$E$2</f>
        <v>0</v>
      </c>
      <c r="B221" s="1">
        <v>0</v>
      </c>
      <c r="C221" s="1">
        <v>1</v>
      </c>
      <c r="D221" s="1">
        <v>0</v>
      </c>
      <c r="E221" s="1">
        <v>2</v>
      </c>
      <c r="F221" t="b">
        <f t="shared" si="131"/>
        <v>0</v>
      </c>
      <c r="H221" s="1">
        <v>1</v>
      </c>
      <c r="I221" s="1">
        <v>1</v>
      </c>
      <c r="J221" s="17" t="b">
        <f t="shared" si="132"/>
        <v>1</v>
      </c>
      <c r="K221" s="1">
        <v>2</v>
      </c>
      <c r="L221" t="b">
        <f t="shared" si="133"/>
        <v>1</v>
      </c>
      <c r="N221" s="14">
        <v>1</v>
      </c>
      <c r="O221" s="1">
        <v>0</v>
      </c>
      <c r="P221" s="1">
        <v>1</v>
      </c>
      <c r="Q221" t="b">
        <f t="shared" si="134"/>
        <v>1</v>
      </c>
      <c r="R221">
        <f>$I$2</f>
        <v>0</v>
      </c>
      <c r="S221" t="b">
        <f>_xlfn.XOR(Q221,R221)</f>
        <v>1</v>
      </c>
      <c r="T221" s="18"/>
      <c r="U221" s="8"/>
      <c r="V221" s="18"/>
      <c r="W221" s="18"/>
    </row>
    <row r="222" spans="1:23" ht="13">
      <c r="A222">
        <f>$F$2</f>
        <v>0</v>
      </c>
      <c r="B222" s="1">
        <v>1</v>
      </c>
      <c r="C222" s="1">
        <v>0</v>
      </c>
      <c r="D222" s="1">
        <v>0</v>
      </c>
      <c r="E222" s="1">
        <v>2</v>
      </c>
      <c r="F222" t="b">
        <f t="shared" si="131"/>
        <v>0</v>
      </c>
      <c r="N222" s="14">
        <v>1</v>
      </c>
      <c r="O222" s="1">
        <v>1</v>
      </c>
      <c r="P222" s="1">
        <v>2</v>
      </c>
      <c r="Q222" t="b">
        <f t="shared" si="134"/>
        <v>0</v>
      </c>
      <c r="R222">
        <f>$J$2</f>
        <v>0</v>
      </c>
      <c r="S222" t="b">
        <f>_xlfn.XOR(Q222,R222)</f>
        <v>0</v>
      </c>
      <c r="T222" s="18"/>
      <c r="U222" s="8"/>
      <c r="V222" s="18"/>
      <c r="W222" s="18"/>
    </row>
    <row r="223" spans="1:23" ht="13">
      <c r="T223" s="18"/>
      <c r="U223" s="8"/>
      <c r="V223" s="18"/>
      <c r="W223" s="18"/>
    </row>
    <row r="224" spans="1:23" ht="13">
      <c r="B224" s="1" t="s">
        <v>182</v>
      </c>
      <c r="E224" s="1" t="s">
        <v>67</v>
      </c>
      <c r="F224" s="1" t="s">
        <v>34</v>
      </c>
      <c r="H224" s="1" t="s">
        <v>183</v>
      </c>
      <c r="K224" s="1" t="s">
        <v>76</v>
      </c>
      <c r="L224" s="1" t="s">
        <v>44</v>
      </c>
      <c r="N224" s="1" t="s">
        <v>184</v>
      </c>
      <c r="Q224" s="1" t="s">
        <v>70</v>
      </c>
      <c r="S224" s="1" t="s">
        <v>102</v>
      </c>
    </row>
    <row r="225" spans="1:23" ht="18">
      <c r="B225" t="b">
        <f>_xlfn.XOR($A220,B220)</f>
        <v>1</v>
      </c>
      <c r="C225" t="b">
        <f>_xlfn.XOR($A221,C220)</f>
        <v>0</v>
      </c>
      <c r="D225" t="b">
        <f>_xlfn.XOR($A222,D220)</f>
        <v>0</v>
      </c>
      <c r="E225">
        <f t="shared" ref="E225:E227" si="135">IF(F225,IF(F220,1,-1),0)</f>
        <v>-1</v>
      </c>
      <c r="F225" t="b">
        <f>OR(H228:H229)</f>
        <v>1</v>
      </c>
      <c r="H225" t="b">
        <f>_xlfn.XOR($F220,$H220)</f>
        <v>1</v>
      </c>
      <c r="I225" t="b">
        <f>_xlfn.XOR($F221,$I220)</f>
        <v>0</v>
      </c>
      <c r="J225" t="b">
        <f>_xlfn.XOR($F222,$J220)</f>
        <v>1</v>
      </c>
      <c r="K225">
        <f t="shared" ref="K225:K226" si="136">IF(L225,IF(L220,1,-1),0)</f>
        <v>1</v>
      </c>
      <c r="L225" t="b">
        <f>OR(Q225:Q227)</f>
        <v>1</v>
      </c>
      <c r="N225" t="b">
        <f>_xlfn.XOR($L220,$N220)</f>
        <v>1</v>
      </c>
      <c r="O225" t="b">
        <f>_xlfn.XOR($L221,$O220)</f>
        <v>1</v>
      </c>
      <c r="Q225" t="b">
        <f t="shared" ref="Q225:R227" si="137">AND($S220,(_xlfn.XOR(N225,NOT($Q220))))</f>
        <v>1</v>
      </c>
      <c r="R225" t="b">
        <f t="shared" si="137"/>
        <v>1</v>
      </c>
      <c r="S225" s="22">
        <f t="shared" ref="S225:S227" si="138">IF($S220,IF(Q220,1,-1),0)</f>
        <v>1</v>
      </c>
      <c r="T225" s="1" t="s">
        <v>152</v>
      </c>
      <c r="U225" s="18"/>
      <c r="V225" s="18"/>
      <c r="W225" s="18"/>
    </row>
    <row r="226" spans="1:23" ht="18">
      <c r="B226" t="b">
        <f>_xlfn.XOR($A220,B221)</f>
        <v>0</v>
      </c>
      <c r="C226" t="b">
        <f>_xlfn.XOR($A221,C221)</f>
        <v>1</v>
      </c>
      <c r="D226" t="b">
        <f>_xlfn.XOR($A222,D221)</f>
        <v>0</v>
      </c>
      <c r="E226">
        <f t="shared" si="135"/>
        <v>-1</v>
      </c>
      <c r="F226" t="b">
        <f>OR(I228:I229)</f>
        <v>1</v>
      </c>
      <c r="H226" t="b">
        <f>_xlfn.XOR($F220,$H221)</f>
        <v>1</v>
      </c>
      <c r="I226" t="b">
        <f>_xlfn.XOR($F221,$I221)</f>
        <v>1</v>
      </c>
      <c r="J226" t="b">
        <f>_xlfn.XOR($F222,$J221)</f>
        <v>1</v>
      </c>
      <c r="K226">
        <f t="shared" si="136"/>
        <v>1</v>
      </c>
      <c r="L226" t="b">
        <f>OR(R225:R227)</f>
        <v>1</v>
      </c>
      <c r="N226" t="b">
        <f>_xlfn.XOR($L220,$N221)</f>
        <v>0</v>
      </c>
      <c r="O226" t="b">
        <f>_xlfn.XOR($L221,$O221)</f>
        <v>1</v>
      </c>
      <c r="Q226" t="b">
        <f t="shared" si="137"/>
        <v>0</v>
      </c>
      <c r="R226" t="b">
        <f t="shared" si="137"/>
        <v>1</v>
      </c>
      <c r="S226" s="22">
        <f t="shared" si="138"/>
        <v>1</v>
      </c>
      <c r="T226" s="18"/>
      <c r="U226" s="18"/>
      <c r="V226" s="18"/>
      <c r="W226" s="18"/>
    </row>
    <row r="227" spans="1:23" ht="18">
      <c r="B227" t="b">
        <f>_xlfn.XOR($A220,B222)</f>
        <v>1</v>
      </c>
      <c r="C227" t="b">
        <f>_xlfn.XOR($A221,C222)</f>
        <v>0</v>
      </c>
      <c r="D227" t="b">
        <f>_xlfn.XOR($A222,D222)</f>
        <v>0</v>
      </c>
      <c r="E227">
        <f t="shared" si="135"/>
        <v>-1</v>
      </c>
      <c r="F227" t="b">
        <f>OR(J228:J229)</f>
        <v>1</v>
      </c>
      <c r="H227" s="1" t="s">
        <v>56</v>
      </c>
      <c r="N227" t="b">
        <f>_xlfn.XOR($L220,$N222)</f>
        <v>0</v>
      </c>
      <c r="O227" t="b">
        <f>_xlfn.XOR($L221,$O222)</f>
        <v>0</v>
      </c>
      <c r="Q227" t="b">
        <f t="shared" si="137"/>
        <v>0</v>
      </c>
      <c r="R227" t="b">
        <f t="shared" si="137"/>
        <v>0</v>
      </c>
      <c r="S227" s="22">
        <f t="shared" si="138"/>
        <v>0</v>
      </c>
      <c r="T227" s="18"/>
      <c r="U227" s="19"/>
      <c r="V227" s="4"/>
      <c r="W227" s="19"/>
    </row>
    <row r="228" spans="1:23" ht="13">
      <c r="B228" s="1" t="s">
        <v>99</v>
      </c>
      <c r="H228" t="b">
        <f t="shared" ref="H228:J229" si="139">AND($L225,(_xlfn.XOR(H225,NOT($L220))))</f>
        <v>1</v>
      </c>
      <c r="I228" t="b">
        <f t="shared" si="139"/>
        <v>0</v>
      </c>
      <c r="J228" t="b">
        <f t="shared" si="139"/>
        <v>1</v>
      </c>
      <c r="T228" s="18"/>
      <c r="U228" s="19"/>
      <c r="V228" s="4"/>
      <c r="W228" s="19"/>
    </row>
    <row r="229" spans="1:23" ht="13">
      <c r="B229" t="b">
        <f t="shared" ref="B229:D231" si="140">AND($F225,(_xlfn.XOR(B225,NOT($F220))))</f>
        <v>0</v>
      </c>
      <c r="C229" t="b">
        <f t="shared" si="140"/>
        <v>1</v>
      </c>
      <c r="D229" t="b">
        <f t="shared" si="140"/>
        <v>1</v>
      </c>
      <c r="H229" t="b">
        <f t="shared" si="139"/>
        <v>1</v>
      </c>
      <c r="I229" t="b">
        <f t="shared" si="139"/>
        <v>1</v>
      </c>
      <c r="J229" t="b">
        <f t="shared" si="139"/>
        <v>1</v>
      </c>
      <c r="T229" s="18"/>
      <c r="U229" s="19"/>
      <c r="V229" s="4"/>
      <c r="W229" s="19"/>
    </row>
    <row r="230" spans="1:23" ht="13">
      <c r="A230" s="2"/>
      <c r="B230" t="b">
        <f t="shared" si="140"/>
        <v>1</v>
      </c>
      <c r="C230" t="b">
        <f t="shared" si="140"/>
        <v>0</v>
      </c>
      <c r="D230" t="b">
        <f t="shared" si="140"/>
        <v>1</v>
      </c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18"/>
      <c r="U230" s="19"/>
      <c r="V230" s="4"/>
      <c r="W230" s="19"/>
    </row>
    <row r="231" spans="1:23" ht="13">
      <c r="A231" s="2"/>
      <c r="B231" t="b">
        <f t="shared" si="140"/>
        <v>0</v>
      </c>
      <c r="C231" t="b">
        <f t="shared" si="140"/>
        <v>1</v>
      </c>
      <c r="D231" t="b">
        <f t="shared" si="140"/>
        <v>1</v>
      </c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18"/>
      <c r="U231" s="18"/>
      <c r="V231" s="18"/>
      <c r="W231" s="18"/>
    </row>
    <row r="232" spans="1:23" ht="13">
      <c r="B232" s="19"/>
      <c r="C232" s="19"/>
      <c r="D232" s="19"/>
      <c r="F232" s="18"/>
      <c r="G232" s="19"/>
      <c r="H232" s="18"/>
      <c r="I232" s="19"/>
      <c r="J232" s="19"/>
      <c r="K232" s="18"/>
      <c r="M232" s="18"/>
      <c r="N232" s="19"/>
      <c r="O232" s="18"/>
      <c r="P232" s="19"/>
      <c r="Q232" s="19"/>
      <c r="R232" s="19"/>
      <c r="S232" s="18"/>
      <c r="T232" s="18"/>
      <c r="U232" s="5"/>
      <c r="V232" s="18"/>
      <c r="W232" s="19"/>
    </row>
    <row r="233" spans="1:23" ht="13">
      <c r="A233" s="2" t="s">
        <v>42</v>
      </c>
      <c r="B233" s="39" t="s">
        <v>27</v>
      </c>
      <c r="C233" s="38"/>
      <c r="D233" s="38"/>
      <c r="E233" s="2" t="s">
        <v>28</v>
      </c>
      <c r="F233" s="2" t="s">
        <v>29</v>
      </c>
      <c r="G233" s="6"/>
      <c r="H233" s="39" t="s">
        <v>30</v>
      </c>
      <c r="I233" s="38"/>
      <c r="J233" s="38"/>
      <c r="K233" s="2" t="s">
        <v>31</v>
      </c>
      <c r="L233" s="2" t="s">
        <v>37</v>
      </c>
      <c r="N233" s="39" t="s">
        <v>38</v>
      </c>
      <c r="O233" s="38"/>
      <c r="P233" s="2" t="s">
        <v>39</v>
      </c>
      <c r="Q233" s="2" t="s">
        <v>32</v>
      </c>
      <c r="R233" s="2" t="s">
        <v>43</v>
      </c>
      <c r="S233" s="2" t="s">
        <v>34</v>
      </c>
      <c r="T233" s="18"/>
      <c r="U233" s="5"/>
      <c r="V233" s="18"/>
      <c r="W233" s="19"/>
    </row>
    <row r="234" spans="1:23" ht="13">
      <c r="A234" s="1">
        <f>$D$3</f>
        <v>0</v>
      </c>
      <c r="B234" s="1">
        <v>1</v>
      </c>
      <c r="C234" s="1">
        <v>0</v>
      </c>
      <c r="D234" s="1">
        <v>0</v>
      </c>
      <c r="E234" s="17">
        <f>E220+E225</f>
        <v>2</v>
      </c>
      <c r="F234" t="b">
        <f t="shared" ref="F234:F236" si="141">COUNTIF(B239:D239, TRUE)&gt;=E234</f>
        <v>1</v>
      </c>
      <c r="H234" s="1">
        <v>1</v>
      </c>
      <c r="I234" s="1">
        <v>0</v>
      </c>
      <c r="J234" s="1">
        <v>1</v>
      </c>
      <c r="K234" s="1">
        <v>1</v>
      </c>
      <c r="L234" t="b">
        <f t="shared" ref="L234:L235" si="142">COUNTIF(H239:J239, TRUE)&gt;=K234</f>
        <v>0</v>
      </c>
      <c r="N234" s="14">
        <v>0</v>
      </c>
      <c r="O234" s="1">
        <v>0</v>
      </c>
      <c r="P234" s="1">
        <v>2</v>
      </c>
      <c r="Q234" t="b">
        <f t="shared" ref="Q234:Q236" si="143">COUNTIF(N239:O239, TRUE)&gt;=P234</f>
        <v>0</v>
      </c>
      <c r="R234">
        <f>$H$3</f>
        <v>1</v>
      </c>
      <c r="S234" t="b">
        <f>_xlfn.XOR(Q234,R234)</f>
        <v>1</v>
      </c>
      <c r="T234" s="18"/>
      <c r="U234" s="5"/>
      <c r="V234" s="18"/>
      <c r="W234" s="19"/>
    </row>
    <row r="235" spans="1:23" ht="13">
      <c r="A235" s="1">
        <f>$E$3</f>
        <v>1</v>
      </c>
      <c r="B235" s="1">
        <v>0</v>
      </c>
      <c r="C235" s="1">
        <v>1</v>
      </c>
      <c r="D235" s="1">
        <v>0</v>
      </c>
      <c r="E235" s="1">
        <v>2</v>
      </c>
      <c r="F235" t="b">
        <f t="shared" si="141"/>
        <v>0</v>
      </c>
      <c r="H235" s="1">
        <v>1</v>
      </c>
      <c r="I235" s="1">
        <v>1</v>
      </c>
      <c r="J235" s="1">
        <v>1</v>
      </c>
      <c r="K235" s="1">
        <v>2</v>
      </c>
      <c r="L235" t="b">
        <f t="shared" si="142"/>
        <v>0</v>
      </c>
      <c r="N235" s="14">
        <v>1</v>
      </c>
      <c r="O235" s="1">
        <v>0</v>
      </c>
      <c r="P235" s="1">
        <v>1</v>
      </c>
      <c r="Q235" t="b">
        <f t="shared" si="143"/>
        <v>1</v>
      </c>
      <c r="R235">
        <f>$I$3</f>
        <v>1</v>
      </c>
      <c r="S235" t="b">
        <f>_xlfn.XOR(Q235,R235)</f>
        <v>0</v>
      </c>
      <c r="T235" s="18"/>
      <c r="U235" s="5"/>
      <c r="V235" s="18"/>
      <c r="W235" s="19"/>
    </row>
    <row r="236" spans="1:23" ht="13">
      <c r="A236">
        <f>$F$3</f>
        <v>0</v>
      </c>
      <c r="B236" s="1">
        <v>1</v>
      </c>
      <c r="C236" s="1">
        <v>0</v>
      </c>
      <c r="D236" s="1">
        <v>0</v>
      </c>
      <c r="E236" s="1">
        <v>2</v>
      </c>
      <c r="F236" t="b">
        <f t="shared" si="141"/>
        <v>1</v>
      </c>
      <c r="N236" s="14">
        <v>1</v>
      </c>
      <c r="O236" s="1">
        <v>1</v>
      </c>
      <c r="P236" s="1">
        <v>2</v>
      </c>
      <c r="Q236" t="b">
        <f t="shared" si="143"/>
        <v>1</v>
      </c>
      <c r="R236">
        <f>$J$3</f>
        <v>0</v>
      </c>
      <c r="S236" t="b">
        <f>_xlfn.XOR(Q236,R236)</f>
        <v>1</v>
      </c>
      <c r="T236" s="18"/>
      <c r="U236" s="18"/>
      <c r="V236" s="18"/>
      <c r="W236" s="18"/>
    </row>
    <row r="237" spans="1:23" ht="13">
      <c r="T237" s="18"/>
      <c r="U237" s="18"/>
      <c r="V237" s="18"/>
      <c r="W237" s="18"/>
    </row>
    <row r="238" spans="1:23" ht="13">
      <c r="B238" s="1" t="s">
        <v>182</v>
      </c>
      <c r="E238" s="1" t="s">
        <v>67</v>
      </c>
      <c r="F238" s="1" t="s">
        <v>34</v>
      </c>
      <c r="H238" s="1" t="s">
        <v>183</v>
      </c>
      <c r="K238" s="1" t="s">
        <v>76</v>
      </c>
      <c r="L238" s="1" t="s">
        <v>44</v>
      </c>
      <c r="N238" s="1" t="s">
        <v>184</v>
      </c>
      <c r="Q238" s="1" t="s">
        <v>70</v>
      </c>
      <c r="S238" s="1" t="s">
        <v>102</v>
      </c>
      <c r="T238" s="18"/>
      <c r="U238" s="18"/>
      <c r="V238" s="18"/>
      <c r="W238" s="18"/>
    </row>
    <row r="239" spans="1:23" ht="18">
      <c r="B239" t="b">
        <f>_xlfn.XOR($A234,B234)</f>
        <v>1</v>
      </c>
      <c r="C239" t="b">
        <f>_xlfn.XOR($A235,C234)</f>
        <v>1</v>
      </c>
      <c r="D239" t="b">
        <f>_xlfn.XOR($A236,D234)</f>
        <v>0</v>
      </c>
      <c r="E239">
        <f t="shared" ref="E239:E241" si="144">IF(F239,IF(F234,1,-1),0)</f>
        <v>1</v>
      </c>
      <c r="F239" t="b">
        <f>OR(H242:H243)</f>
        <v>1</v>
      </c>
      <c r="H239" t="b">
        <f>_xlfn.XOR($F234,$H234)</f>
        <v>0</v>
      </c>
      <c r="I239" t="b">
        <f>_xlfn.XOR($F235,$I234)</f>
        <v>0</v>
      </c>
      <c r="J239" t="b">
        <f>_xlfn.XOR($F236,$J234)</f>
        <v>0</v>
      </c>
      <c r="K239">
        <f t="shared" ref="K239:K240" si="145">IF(L239,IF(L234,1,-1),0)</f>
        <v>-1</v>
      </c>
      <c r="L239" t="b">
        <f>OR(Q239:Q241)</f>
        <v>1</v>
      </c>
      <c r="N239" t="b">
        <f>_xlfn.XOR($L234,$N234)</f>
        <v>0</v>
      </c>
      <c r="O239" t="b">
        <f>_xlfn.XOR($L235,$O234)</f>
        <v>0</v>
      </c>
      <c r="Q239" t="b">
        <f t="shared" ref="Q239:R241" si="146">AND($S234,(_xlfn.XOR(N239,NOT($Q234))))</f>
        <v>1</v>
      </c>
      <c r="R239" t="b">
        <f t="shared" si="146"/>
        <v>1</v>
      </c>
      <c r="S239" s="22">
        <f t="shared" ref="S239:S241" si="147">IF($S234,IF(Q234,1,-1),0)</f>
        <v>-1</v>
      </c>
      <c r="T239" s="1" t="s">
        <v>154</v>
      </c>
    </row>
    <row r="240" spans="1:23" ht="18">
      <c r="B240" t="b">
        <f>_xlfn.XOR($A234,B235)</f>
        <v>0</v>
      </c>
      <c r="C240" t="b">
        <f>_xlfn.XOR($A235,C235)</f>
        <v>0</v>
      </c>
      <c r="D240" t="b">
        <f>_xlfn.XOR($A236,D235)</f>
        <v>0</v>
      </c>
      <c r="E240">
        <f t="shared" si="144"/>
        <v>-1</v>
      </c>
      <c r="F240" t="b">
        <f>OR(I242:I243)</f>
        <v>1</v>
      </c>
      <c r="H240" t="b">
        <f>_xlfn.XOR($F234,$H235)</f>
        <v>0</v>
      </c>
      <c r="I240" t="b">
        <f>_xlfn.XOR($F235,$I235)</f>
        <v>1</v>
      </c>
      <c r="J240" t="b">
        <f>_xlfn.XOR($F236,$J235)</f>
        <v>0</v>
      </c>
      <c r="K240">
        <f t="shared" si="145"/>
        <v>-1</v>
      </c>
      <c r="L240" t="b">
        <f>OR(R239:R241)</f>
        <v>1</v>
      </c>
      <c r="N240" t="b">
        <f>_xlfn.XOR($L234,$N235)</f>
        <v>1</v>
      </c>
      <c r="O240" t="b">
        <f>_xlfn.XOR($L235,$O235)</f>
        <v>0</v>
      </c>
      <c r="Q240" t="b">
        <f t="shared" si="146"/>
        <v>0</v>
      </c>
      <c r="R240" t="b">
        <f t="shared" si="146"/>
        <v>0</v>
      </c>
      <c r="S240" s="22">
        <f t="shared" si="147"/>
        <v>0</v>
      </c>
      <c r="T240" s="18"/>
      <c r="U240" s="18"/>
      <c r="V240" s="18"/>
      <c r="W240" s="18"/>
    </row>
    <row r="241" spans="1:23" ht="18">
      <c r="B241" t="b">
        <f>_xlfn.XOR($A234,B236)</f>
        <v>1</v>
      </c>
      <c r="C241" t="b">
        <f>_xlfn.XOR($A235,C236)</f>
        <v>1</v>
      </c>
      <c r="D241" t="b">
        <f>_xlfn.XOR($A236,D236)</f>
        <v>0</v>
      </c>
      <c r="E241">
        <f t="shared" si="144"/>
        <v>1</v>
      </c>
      <c r="F241" t="b">
        <f>OR(J242:J243)</f>
        <v>1</v>
      </c>
      <c r="H241" s="1" t="s">
        <v>56</v>
      </c>
      <c r="N241" t="b">
        <f>_xlfn.XOR($L234,$N236)</f>
        <v>1</v>
      </c>
      <c r="O241" t="b">
        <f>_xlfn.XOR($L235,$O236)</f>
        <v>1</v>
      </c>
      <c r="Q241" t="b">
        <f t="shared" si="146"/>
        <v>1</v>
      </c>
      <c r="R241" t="b">
        <f t="shared" si="146"/>
        <v>1</v>
      </c>
      <c r="S241" s="22">
        <f t="shared" si="147"/>
        <v>1</v>
      </c>
      <c r="T241" s="18"/>
      <c r="U241" s="18"/>
      <c r="V241" s="18"/>
      <c r="W241" s="18"/>
    </row>
    <row r="242" spans="1:23" ht="13">
      <c r="B242" s="1" t="s">
        <v>99</v>
      </c>
      <c r="H242" t="b">
        <f t="shared" ref="H242:J243" si="148">AND($L239,(_xlfn.XOR(H239,NOT($L234))))</f>
        <v>1</v>
      </c>
      <c r="I242" t="b">
        <f t="shared" si="148"/>
        <v>1</v>
      </c>
      <c r="J242" t="b">
        <f t="shared" si="148"/>
        <v>1</v>
      </c>
      <c r="T242" s="18"/>
      <c r="U242" s="19"/>
      <c r="V242" s="4"/>
      <c r="W242" s="19"/>
    </row>
    <row r="243" spans="1:23" ht="13">
      <c r="B243" t="b">
        <f t="shared" ref="B243:D245" si="149">AND($F239,(_xlfn.XOR(B239,NOT($F234))))</f>
        <v>1</v>
      </c>
      <c r="C243" t="b">
        <f t="shared" si="149"/>
        <v>1</v>
      </c>
      <c r="D243" t="b">
        <f t="shared" si="149"/>
        <v>0</v>
      </c>
      <c r="H243" t="b">
        <f t="shared" si="148"/>
        <v>1</v>
      </c>
      <c r="I243" t="b">
        <f t="shared" si="148"/>
        <v>0</v>
      </c>
      <c r="J243" t="b">
        <f t="shared" si="148"/>
        <v>1</v>
      </c>
      <c r="T243" s="18"/>
      <c r="U243" s="19"/>
      <c r="V243" s="4"/>
      <c r="W243" s="19"/>
    </row>
    <row r="244" spans="1:23" ht="13">
      <c r="A244" s="2"/>
      <c r="B244" t="b">
        <f t="shared" si="149"/>
        <v>1</v>
      </c>
      <c r="C244" t="b">
        <f t="shared" si="149"/>
        <v>1</v>
      </c>
      <c r="D244" t="b">
        <f t="shared" si="149"/>
        <v>1</v>
      </c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18"/>
      <c r="U244" s="19"/>
      <c r="V244" s="4"/>
      <c r="W244" s="19"/>
    </row>
    <row r="245" spans="1:23" ht="13">
      <c r="A245" s="2"/>
      <c r="B245" t="b">
        <f t="shared" si="149"/>
        <v>1</v>
      </c>
      <c r="C245" t="b">
        <f t="shared" si="149"/>
        <v>1</v>
      </c>
      <c r="D245" t="b">
        <f t="shared" si="149"/>
        <v>0</v>
      </c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18"/>
      <c r="U245" s="19"/>
      <c r="V245" s="4"/>
      <c r="W245" s="19"/>
    </row>
    <row r="246" spans="1:23" ht="13">
      <c r="B246" s="18"/>
      <c r="C246" s="18"/>
      <c r="D246" s="18"/>
      <c r="F246" s="18"/>
      <c r="G246" s="18"/>
      <c r="H246" s="18"/>
      <c r="I246" s="18"/>
      <c r="J246" s="18"/>
      <c r="K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</row>
    <row r="247" spans="1:23" ht="13">
      <c r="A247" s="2" t="s">
        <v>64</v>
      </c>
      <c r="B247" s="39" t="s">
        <v>27</v>
      </c>
      <c r="C247" s="38"/>
      <c r="D247" s="38"/>
      <c r="E247" s="2" t="s">
        <v>28</v>
      </c>
      <c r="F247" s="2" t="s">
        <v>29</v>
      </c>
      <c r="G247" s="6"/>
      <c r="H247" s="39" t="s">
        <v>30</v>
      </c>
      <c r="I247" s="38"/>
      <c r="J247" s="38"/>
      <c r="K247" s="2" t="s">
        <v>31</v>
      </c>
      <c r="L247" s="2" t="s">
        <v>37</v>
      </c>
      <c r="N247" s="39" t="s">
        <v>38</v>
      </c>
      <c r="O247" s="38"/>
      <c r="P247" s="2" t="s">
        <v>39</v>
      </c>
      <c r="Q247" s="2" t="s">
        <v>32</v>
      </c>
      <c r="R247" s="2" t="s">
        <v>65</v>
      </c>
      <c r="S247" s="2" t="s">
        <v>34</v>
      </c>
      <c r="T247" s="18"/>
      <c r="U247" s="5"/>
      <c r="V247" s="18"/>
      <c r="W247" s="19"/>
    </row>
    <row r="248" spans="1:23" ht="13">
      <c r="A248" s="1">
        <f>$D$4</f>
        <v>1</v>
      </c>
      <c r="B248" s="1">
        <v>1</v>
      </c>
      <c r="C248" s="1">
        <v>0</v>
      </c>
      <c r="D248" s="17">
        <f t="shared" ref="D248:D250" si="150">IF(D243,(NOT(D234)),D234)</f>
        <v>0</v>
      </c>
      <c r="E248" s="1">
        <v>2</v>
      </c>
      <c r="F248" t="b">
        <f t="shared" ref="F248:F250" si="151">COUNTIF(B253:D253, TRUE)&gt;=E248</f>
        <v>0</v>
      </c>
      <c r="H248" s="1">
        <v>1</v>
      </c>
      <c r="I248" s="1">
        <v>0</v>
      </c>
      <c r="J248" s="1">
        <v>1</v>
      </c>
      <c r="K248" s="1">
        <v>1</v>
      </c>
      <c r="L248" t="b">
        <f t="shared" ref="L248:L249" si="152">COUNTIF(H253:J253, TRUE)&gt;=K248</f>
        <v>1</v>
      </c>
      <c r="N248" s="14">
        <v>0</v>
      </c>
      <c r="O248" s="1">
        <v>0</v>
      </c>
      <c r="P248" s="1">
        <v>2</v>
      </c>
      <c r="Q248" t="b">
        <f t="shared" ref="Q248:Q250" si="153">COUNTIF(N253:O253, TRUE)&gt;=P248</f>
        <v>1</v>
      </c>
      <c r="R248">
        <f>$H$4</f>
        <v>1</v>
      </c>
      <c r="S248" t="b">
        <f>_xlfn.XOR(Q248,R248)</f>
        <v>0</v>
      </c>
      <c r="T248" s="18"/>
      <c r="U248" s="5"/>
      <c r="V248" s="18"/>
      <c r="W248" s="19"/>
    </row>
    <row r="249" spans="1:23" ht="13">
      <c r="A249" s="1">
        <f>$E$4</f>
        <v>0</v>
      </c>
      <c r="B249" s="1">
        <v>0</v>
      </c>
      <c r="C249" s="1">
        <v>1</v>
      </c>
      <c r="D249" s="17" t="b">
        <f t="shared" si="150"/>
        <v>1</v>
      </c>
      <c r="E249" s="1">
        <v>2</v>
      </c>
      <c r="F249" t="b">
        <f t="shared" si="151"/>
        <v>1</v>
      </c>
      <c r="H249" s="1">
        <v>1</v>
      </c>
      <c r="I249" s="1">
        <v>1</v>
      </c>
      <c r="J249" s="1">
        <v>1</v>
      </c>
      <c r="K249" s="1">
        <v>2</v>
      </c>
      <c r="L249" t="b">
        <f t="shared" si="152"/>
        <v>1</v>
      </c>
      <c r="N249" s="14">
        <v>1</v>
      </c>
      <c r="O249" s="1">
        <v>0</v>
      </c>
      <c r="P249" s="1">
        <v>1</v>
      </c>
      <c r="Q249" t="b">
        <f t="shared" si="153"/>
        <v>1</v>
      </c>
      <c r="R249">
        <f>$I$4</f>
        <v>1</v>
      </c>
      <c r="S249" t="b">
        <f>_xlfn.XOR(Q249,R249)</f>
        <v>0</v>
      </c>
      <c r="T249" s="18"/>
      <c r="U249" s="5"/>
      <c r="V249" s="18"/>
      <c r="W249" s="19"/>
    </row>
    <row r="250" spans="1:23" ht="13">
      <c r="A250">
        <f>$F$4</f>
        <v>0</v>
      </c>
      <c r="B250" s="1">
        <v>1</v>
      </c>
      <c r="C250" s="1">
        <v>0</v>
      </c>
      <c r="D250" s="17">
        <f t="shared" si="150"/>
        <v>0</v>
      </c>
      <c r="E250" s="1">
        <v>2</v>
      </c>
      <c r="F250" t="b">
        <f t="shared" si="151"/>
        <v>0</v>
      </c>
      <c r="N250" s="14">
        <v>1</v>
      </c>
      <c r="O250" s="1">
        <v>1</v>
      </c>
      <c r="P250" s="1">
        <v>2</v>
      </c>
      <c r="Q250" t="b">
        <f t="shared" si="153"/>
        <v>0</v>
      </c>
      <c r="R250">
        <f>$J$4</f>
        <v>1</v>
      </c>
      <c r="S250" t="b">
        <f>_xlfn.XOR(Q250,R250)</f>
        <v>1</v>
      </c>
      <c r="T250" s="18"/>
      <c r="U250" s="5"/>
      <c r="V250" s="18"/>
      <c r="W250" s="19"/>
    </row>
    <row r="251" spans="1:23" ht="13">
      <c r="T251" s="18"/>
      <c r="U251" s="18"/>
      <c r="V251" s="18"/>
      <c r="W251" s="18"/>
    </row>
    <row r="252" spans="1:23" ht="13">
      <c r="B252" s="1" t="s">
        <v>182</v>
      </c>
      <c r="E252" s="1" t="s">
        <v>67</v>
      </c>
      <c r="F252" s="1" t="s">
        <v>34</v>
      </c>
      <c r="H252" s="1" t="s">
        <v>183</v>
      </c>
      <c r="K252" s="1" t="s">
        <v>76</v>
      </c>
      <c r="L252" s="1" t="s">
        <v>44</v>
      </c>
      <c r="N252" s="1" t="s">
        <v>184</v>
      </c>
      <c r="Q252" s="1" t="s">
        <v>70</v>
      </c>
      <c r="S252" s="1" t="s">
        <v>102</v>
      </c>
      <c r="T252" s="18"/>
      <c r="U252" s="18"/>
      <c r="V252" s="18"/>
      <c r="W252" s="18"/>
    </row>
    <row r="253" spans="1:23" ht="18">
      <c r="B253" t="b">
        <f>_xlfn.XOR($A248,B248)</f>
        <v>0</v>
      </c>
      <c r="C253" t="b">
        <f>_xlfn.XOR($A249,C248)</f>
        <v>0</v>
      </c>
      <c r="D253" t="b">
        <f>_xlfn.XOR($A250,D248)</f>
        <v>0</v>
      </c>
      <c r="E253">
        <f t="shared" ref="E253:E255" si="154">IF(F253,IF(F248,1,-1),0)</f>
        <v>-1</v>
      </c>
      <c r="F253" t="b">
        <f>OR(H256:H257)</f>
        <v>1</v>
      </c>
      <c r="H253" t="b">
        <f>_xlfn.XOR($F248,$H248)</f>
        <v>1</v>
      </c>
      <c r="I253" t="b">
        <f>_xlfn.XOR($F249,$I248)</f>
        <v>1</v>
      </c>
      <c r="J253" t="b">
        <f>_xlfn.XOR($F250,$J248)</f>
        <v>1</v>
      </c>
      <c r="K253">
        <f t="shared" ref="K253:K254" si="155">IF(L253,IF(L248,1,-1),0)</f>
        <v>1</v>
      </c>
      <c r="L253" t="b">
        <f>OR(Q253:Q255)</f>
        <v>1</v>
      </c>
      <c r="N253" t="b">
        <f>_xlfn.XOR($L248,$N248)</f>
        <v>1</v>
      </c>
      <c r="O253" t="b">
        <f>_xlfn.XOR($L249,$O248)</f>
        <v>1</v>
      </c>
      <c r="Q253" t="b">
        <f t="shared" ref="Q253:R255" si="156">AND($S248,(_xlfn.XOR(N253,NOT($Q248))))</f>
        <v>0</v>
      </c>
      <c r="R253" t="b">
        <f t="shared" si="156"/>
        <v>0</v>
      </c>
      <c r="S253" s="22">
        <f t="shared" ref="S253:S255" si="157">IF($S248,IF(Q248,1,-1),0)</f>
        <v>0</v>
      </c>
      <c r="T253" s="1" t="s">
        <v>157</v>
      </c>
      <c r="U253" s="18"/>
      <c r="V253" s="18"/>
      <c r="W253" s="18"/>
    </row>
    <row r="254" spans="1:23" ht="18">
      <c r="B254" t="b">
        <f>_xlfn.XOR($A248,B249)</f>
        <v>1</v>
      </c>
      <c r="C254" t="b">
        <f>_xlfn.XOR($A249,C249)</f>
        <v>1</v>
      </c>
      <c r="D254" t="b">
        <f>_xlfn.XOR($A250,D249)</f>
        <v>1</v>
      </c>
      <c r="E254">
        <f t="shared" si="154"/>
        <v>1</v>
      </c>
      <c r="F254" t="b">
        <f>OR(I256:I257)</f>
        <v>1</v>
      </c>
      <c r="H254" t="b">
        <f>_xlfn.XOR($F248,$H249)</f>
        <v>1</v>
      </c>
      <c r="I254" t="b">
        <f>_xlfn.XOR($F249,$I249)</f>
        <v>0</v>
      </c>
      <c r="J254" t="b">
        <f>_xlfn.XOR($F250,$J249)</f>
        <v>1</v>
      </c>
      <c r="K254">
        <f t="shared" si="155"/>
        <v>1</v>
      </c>
      <c r="L254" t="b">
        <f>OR(R253:R255)</f>
        <v>1</v>
      </c>
      <c r="N254" t="b">
        <f>_xlfn.XOR($L248,$N249)</f>
        <v>0</v>
      </c>
      <c r="O254" t="b">
        <f>_xlfn.XOR($L249,$O249)</f>
        <v>1</v>
      </c>
      <c r="Q254" t="b">
        <f t="shared" si="156"/>
        <v>0</v>
      </c>
      <c r="R254" t="b">
        <f t="shared" si="156"/>
        <v>0</v>
      </c>
      <c r="S254" s="22">
        <f t="shared" si="157"/>
        <v>0</v>
      </c>
    </row>
    <row r="255" spans="1:23" ht="18">
      <c r="B255" t="b">
        <f>_xlfn.XOR($A248,B250)</f>
        <v>0</v>
      </c>
      <c r="C255" t="b">
        <f>_xlfn.XOR($A249,C250)</f>
        <v>0</v>
      </c>
      <c r="D255" t="b">
        <f>_xlfn.XOR($A250,D250)</f>
        <v>0</v>
      </c>
      <c r="E255">
        <f t="shared" si="154"/>
        <v>-1</v>
      </c>
      <c r="F255" t="b">
        <f>OR(J256:J257)</f>
        <v>1</v>
      </c>
      <c r="H255" s="1" t="s">
        <v>56</v>
      </c>
      <c r="N255" t="b">
        <f>_xlfn.XOR($L248,$N250)</f>
        <v>0</v>
      </c>
      <c r="O255" t="b">
        <f>_xlfn.XOR($L249,$O250)</f>
        <v>0</v>
      </c>
      <c r="Q255" t="b">
        <f t="shared" si="156"/>
        <v>1</v>
      </c>
      <c r="R255" t="b">
        <f t="shared" si="156"/>
        <v>1</v>
      </c>
      <c r="S255" s="22">
        <f t="shared" si="157"/>
        <v>-1</v>
      </c>
      <c r="T255" s="18"/>
      <c r="U255" s="18"/>
      <c r="V255" s="18"/>
      <c r="W255" s="18"/>
    </row>
    <row r="256" spans="1:23" ht="13">
      <c r="B256" s="1" t="s">
        <v>99</v>
      </c>
      <c r="H256" t="b">
        <f t="shared" ref="H256:J257" si="158">AND($L253,(_xlfn.XOR(H253,NOT($L248))))</f>
        <v>1</v>
      </c>
      <c r="I256" t="b">
        <f t="shared" si="158"/>
        <v>1</v>
      </c>
      <c r="J256" t="b">
        <f t="shared" si="158"/>
        <v>1</v>
      </c>
      <c r="T256" s="18"/>
      <c r="U256" s="18"/>
      <c r="V256" s="18"/>
      <c r="W256" s="18"/>
    </row>
    <row r="257" spans="1:23" ht="13">
      <c r="B257" t="b">
        <f t="shared" ref="B257:D259" si="159">AND($F253,(_xlfn.XOR(B253,NOT($F248))))</f>
        <v>1</v>
      </c>
      <c r="C257" t="b">
        <f t="shared" si="159"/>
        <v>1</v>
      </c>
      <c r="D257" t="b">
        <f t="shared" si="159"/>
        <v>1</v>
      </c>
      <c r="H257" t="b">
        <f t="shared" si="158"/>
        <v>1</v>
      </c>
      <c r="I257" t="b">
        <f t="shared" si="158"/>
        <v>0</v>
      </c>
      <c r="J257" t="b">
        <f t="shared" si="158"/>
        <v>1</v>
      </c>
      <c r="T257" s="18"/>
      <c r="U257" s="19"/>
      <c r="V257" s="4"/>
      <c r="W257" s="19"/>
    </row>
    <row r="258" spans="1:23" ht="13">
      <c r="A258" s="2"/>
      <c r="B258" t="b">
        <f t="shared" si="159"/>
        <v>1</v>
      </c>
      <c r="C258" t="b">
        <f t="shared" si="159"/>
        <v>1</v>
      </c>
      <c r="D258" t="b">
        <f t="shared" si="159"/>
        <v>1</v>
      </c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18"/>
      <c r="U258" s="19"/>
      <c r="V258" s="4"/>
      <c r="W258" s="19"/>
    </row>
    <row r="259" spans="1:23" ht="13">
      <c r="A259" s="2"/>
      <c r="B259" t="b">
        <f t="shared" si="159"/>
        <v>1</v>
      </c>
      <c r="C259" t="b">
        <f t="shared" si="159"/>
        <v>1</v>
      </c>
      <c r="D259" t="b">
        <f t="shared" si="159"/>
        <v>1</v>
      </c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18"/>
      <c r="U259" s="19"/>
      <c r="V259" s="4"/>
      <c r="W259" s="19"/>
    </row>
    <row r="260" spans="1:23" ht="13"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5"/>
      <c r="Q260" s="5"/>
      <c r="R260" s="5"/>
      <c r="S260" s="5"/>
      <c r="T260" s="18"/>
      <c r="U260" s="19"/>
      <c r="V260" s="4"/>
      <c r="W260" s="19"/>
    </row>
    <row r="261" spans="1:23" ht="13">
      <c r="A261" s="2" t="s">
        <v>72</v>
      </c>
      <c r="B261" s="39" t="s">
        <v>27</v>
      </c>
      <c r="C261" s="38"/>
      <c r="D261" s="38"/>
      <c r="E261" s="2" t="s">
        <v>28</v>
      </c>
      <c r="F261" s="2" t="s">
        <v>29</v>
      </c>
      <c r="G261" s="6"/>
      <c r="H261" s="39" t="s">
        <v>30</v>
      </c>
      <c r="I261" s="38"/>
      <c r="J261" s="38"/>
      <c r="K261" s="2" t="s">
        <v>31</v>
      </c>
      <c r="L261" s="2" t="s">
        <v>37</v>
      </c>
      <c r="N261" s="39" t="s">
        <v>38</v>
      </c>
      <c r="O261" s="38"/>
      <c r="P261" s="2" t="s">
        <v>39</v>
      </c>
      <c r="Q261" s="2" t="s">
        <v>32</v>
      </c>
      <c r="R261" s="2" t="s">
        <v>73</v>
      </c>
      <c r="S261" s="2" t="s">
        <v>34</v>
      </c>
      <c r="T261" s="18"/>
      <c r="U261" s="18"/>
      <c r="V261" s="18"/>
      <c r="W261" s="18"/>
    </row>
    <row r="262" spans="1:23" ht="13">
      <c r="A262" s="1">
        <f>$D$5</f>
        <v>1</v>
      </c>
      <c r="B262" s="1">
        <v>1</v>
      </c>
      <c r="C262" s="1">
        <v>0</v>
      </c>
      <c r="D262" s="1">
        <v>0</v>
      </c>
      <c r="E262" s="1">
        <v>2</v>
      </c>
      <c r="F262" t="b">
        <f t="shared" ref="F262:F264" si="160">COUNTIF(B267:D267, TRUE)&gt;=E262</f>
        <v>0</v>
      </c>
      <c r="H262" s="1">
        <v>1</v>
      </c>
      <c r="I262" s="1">
        <v>0</v>
      </c>
      <c r="J262" s="1">
        <v>1</v>
      </c>
      <c r="K262" s="1">
        <v>1</v>
      </c>
      <c r="L262" t="b">
        <f t="shared" ref="L262:L263" si="161">COUNTIF(H267:J267, TRUE)&gt;=K262</f>
        <v>1</v>
      </c>
      <c r="N262" s="14">
        <v>0</v>
      </c>
      <c r="O262" s="1">
        <v>0</v>
      </c>
      <c r="P262" s="1">
        <v>2</v>
      </c>
      <c r="Q262" t="b">
        <f t="shared" ref="Q262:Q264" si="162">COUNTIF(N267:O267, TRUE)&gt;=P262</f>
        <v>1</v>
      </c>
      <c r="R262">
        <f>$H$5</f>
        <v>0</v>
      </c>
      <c r="S262" t="b">
        <f>_xlfn.XOR(Q262,R262)</f>
        <v>1</v>
      </c>
      <c r="T262" s="18"/>
      <c r="U262" s="5"/>
      <c r="V262" s="18"/>
      <c r="W262" s="19"/>
    </row>
    <row r="263" spans="1:23" ht="13">
      <c r="A263" s="1">
        <f>$E$5</f>
        <v>1</v>
      </c>
      <c r="B263" s="1">
        <v>0</v>
      </c>
      <c r="C263" s="1">
        <v>1</v>
      </c>
      <c r="D263" s="1">
        <v>1</v>
      </c>
      <c r="E263" s="1">
        <v>2</v>
      </c>
      <c r="F263" t="b">
        <f t="shared" si="160"/>
        <v>1</v>
      </c>
      <c r="H263" s="1">
        <v>1</v>
      </c>
      <c r="I263" s="1">
        <v>1</v>
      </c>
      <c r="J263" s="1">
        <v>1</v>
      </c>
      <c r="K263" s="1">
        <v>2</v>
      </c>
      <c r="L263" t="b">
        <f t="shared" si="161"/>
        <v>1</v>
      </c>
      <c r="N263" s="14">
        <v>1</v>
      </c>
      <c r="O263" s="1">
        <v>0</v>
      </c>
      <c r="P263" s="1">
        <v>1</v>
      </c>
      <c r="Q263" t="b">
        <f t="shared" si="162"/>
        <v>1</v>
      </c>
      <c r="R263">
        <f>$I$5</f>
        <v>1</v>
      </c>
      <c r="S263" t="b">
        <f>_xlfn.XOR(Q263,R263)</f>
        <v>0</v>
      </c>
      <c r="T263" s="18"/>
      <c r="U263" s="5"/>
      <c r="V263" s="18"/>
      <c r="W263" s="19"/>
    </row>
    <row r="264" spans="1:23" ht="13">
      <c r="A264">
        <f>$F$5</f>
        <v>0</v>
      </c>
      <c r="B264" s="1">
        <v>1</v>
      </c>
      <c r="C264" s="1">
        <v>0</v>
      </c>
      <c r="D264" s="1">
        <v>0</v>
      </c>
      <c r="E264" s="1">
        <v>2</v>
      </c>
      <c r="F264" t="b">
        <f t="shared" si="160"/>
        <v>0</v>
      </c>
      <c r="N264" s="14">
        <v>1</v>
      </c>
      <c r="O264" s="1">
        <v>1</v>
      </c>
      <c r="P264" s="17">
        <f>P250+S255</f>
        <v>1</v>
      </c>
      <c r="Q264" t="b">
        <f t="shared" si="162"/>
        <v>0</v>
      </c>
      <c r="R264">
        <f>$J$5</f>
        <v>1</v>
      </c>
      <c r="S264" t="b">
        <f>_xlfn.XOR(Q264,R264)</f>
        <v>1</v>
      </c>
      <c r="T264" s="18"/>
      <c r="U264" s="5"/>
      <c r="V264" s="18"/>
      <c r="W264" s="19"/>
    </row>
    <row r="265" spans="1:23" ht="13">
      <c r="T265" s="18"/>
      <c r="U265" s="5"/>
      <c r="V265" s="18"/>
      <c r="W265" s="19"/>
    </row>
    <row r="266" spans="1:23" ht="13">
      <c r="B266" s="1" t="s">
        <v>182</v>
      </c>
      <c r="E266" s="1" t="s">
        <v>67</v>
      </c>
      <c r="F266" s="1" t="s">
        <v>34</v>
      </c>
      <c r="H266" s="1" t="s">
        <v>183</v>
      </c>
      <c r="K266" s="1" t="s">
        <v>76</v>
      </c>
      <c r="L266" s="1" t="s">
        <v>44</v>
      </c>
      <c r="N266" s="1" t="s">
        <v>184</v>
      </c>
      <c r="Q266" s="1" t="s">
        <v>70</v>
      </c>
      <c r="S266" s="1" t="s">
        <v>102</v>
      </c>
      <c r="T266" s="18"/>
      <c r="U266" s="18"/>
      <c r="V266" s="18"/>
      <c r="W266" s="18"/>
    </row>
    <row r="267" spans="1:23" ht="18">
      <c r="B267" t="b">
        <f>_xlfn.XOR($A262,B262)</f>
        <v>0</v>
      </c>
      <c r="C267" t="b">
        <f>_xlfn.XOR($A263,C262)</f>
        <v>1</v>
      </c>
      <c r="D267" t="b">
        <f>_xlfn.XOR($A264,D262)</f>
        <v>0</v>
      </c>
      <c r="E267">
        <f t="shared" ref="E267:E269" si="163">IF(F267,IF(F262,1,-1),0)</f>
        <v>-1</v>
      </c>
      <c r="F267" t="b">
        <f>OR(H270:H271)</f>
        <v>1</v>
      </c>
      <c r="H267" t="b">
        <f>_xlfn.XOR($F262,$H262)</f>
        <v>1</v>
      </c>
      <c r="I267" t="b">
        <f>_xlfn.XOR($F263,$I262)</f>
        <v>1</v>
      </c>
      <c r="J267" t="b">
        <f>_xlfn.XOR($F264,$J262)</f>
        <v>1</v>
      </c>
      <c r="K267">
        <f t="shared" ref="K267:K268" si="164">IF(L267,IF(L262,1,-1),0)</f>
        <v>1</v>
      </c>
      <c r="L267" t="b">
        <f>OR(Q267:Q269)</f>
        <v>1</v>
      </c>
      <c r="N267" t="b">
        <f>_xlfn.XOR($L262,$N262)</f>
        <v>1</v>
      </c>
      <c r="O267" t="b">
        <f>_xlfn.XOR($L263,$O262)</f>
        <v>1</v>
      </c>
      <c r="Q267" t="b">
        <f t="shared" ref="Q267:R269" si="165">AND($S262,(_xlfn.XOR(N267,NOT($Q262))))</f>
        <v>1</v>
      </c>
      <c r="R267" t="b">
        <f t="shared" si="165"/>
        <v>1</v>
      </c>
      <c r="S267" s="22">
        <f t="shared" ref="S267:S269" si="166">IF($S262,IF(Q262,1,-1),0)</f>
        <v>1</v>
      </c>
      <c r="T267" s="1" t="s">
        <v>159</v>
      </c>
      <c r="U267" s="18"/>
      <c r="V267" s="18"/>
      <c r="W267" s="18"/>
    </row>
    <row r="268" spans="1:23" ht="18">
      <c r="B268" t="b">
        <f>_xlfn.XOR($A262,B263)</f>
        <v>1</v>
      </c>
      <c r="C268" t="b">
        <f>_xlfn.XOR($A263,C263)</f>
        <v>0</v>
      </c>
      <c r="D268" t="b">
        <f>_xlfn.XOR($A264,D263)</f>
        <v>1</v>
      </c>
      <c r="E268">
        <f t="shared" si="163"/>
        <v>1</v>
      </c>
      <c r="F268" t="b">
        <f>OR(I270:I271)</f>
        <v>1</v>
      </c>
      <c r="H268" t="b">
        <f>_xlfn.XOR($F262,$H263)</f>
        <v>1</v>
      </c>
      <c r="I268" t="b">
        <f>_xlfn.XOR($F263,$I263)</f>
        <v>0</v>
      </c>
      <c r="J268" t="b">
        <f>_xlfn.XOR($F264,$J263)</f>
        <v>1</v>
      </c>
      <c r="K268">
        <f t="shared" si="164"/>
        <v>1</v>
      </c>
      <c r="L268" t="b">
        <f>OR(R267:R269)</f>
        <v>1</v>
      </c>
      <c r="N268" t="b">
        <f>_xlfn.XOR($L262,$N263)</f>
        <v>0</v>
      </c>
      <c r="O268" t="b">
        <f>_xlfn.XOR($L263,$O263)</f>
        <v>1</v>
      </c>
      <c r="Q268" t="b">
        <f t="shared" si="165"/>
        <v>0</v>
      </c>
      <c r="R268" t="b">
        <f t="shared" si="165"/>
        <v>0</v>
      </c>
      <c r="S268" s="22">
        <f t="shared" si="166"/>
        <v>0</v>
      </c>
      <c r="T268" s="18"/>
      <c r="U268" s="18"/>
      <c r="V268" s="18"/>
      <c r="W268" s="18"/>
    </row>
    <row r="269" spans="1:23" ht="18">
      <c r="B269" t="b">
        <f>_xlfn.XOR($A262,B264)</f>
        <v>0</v>
      </c>
      <c r="C269" t="b">
        <f>_xlfn.XOR($A263,C264)</f>
        <v>1</v>
      </c>
      <c r="D269" t="b">
        <f>_xlfn.XOR($A264,D264)</f>
        <v>0</v>
      </c>
      <c r="E269">
        <f t="shared" si="163"/>
        <v>-1</v>
      </c>
      <c r="F269" t="b">
        <f>OR(J270:J271)</f>
        <v>1</v>
      </c>
      <c r="H269" s="1" t="s">
        <v>56</v>
      </c>
      <c r="N269" t="b">
        <f>_xlfn.XOR($L262,$N264)</f>
        <v>0</v>
      </c>
      <c r="O269" t="b">
        <f>_xlfn.XOR($L263,$O264)</f>
        <v>0</v>
      </c>
      <c r="Q269" t="b">
        <f t="shared" si="165"/>
        <v>1</v>
      </c>
      <c r="R269" t="b">
        <f t="shared" si="165"/>
        <v>1</v>
      </c>
      <c r="S269" s="22">
        <f t="shared" si="166"/>
        <v>-1</v>
      </c>
    </row>
    <row r="270" spans="1:23" ht="13">
      <c r="B270" s="1" t="s">
        <v>99</v>
      </c>
      <c r="H270" t="b">
        <f t="shared" ref="H270:J271" si="167">AND($L267,(_xlfn.XOR(H267,NOT($L262))))</f>
        <v>1</v>
      </c>
      <c r="I270" t="b">
        <f t="shared" si="167"/>
        <v>1</v>
      </c>
      <c r="J270" t="b">
        <f t="shared" si="167"/>
        <v>1</v>
      </c>
      <c r="T270" s="18"/>
      <c r="U270" s="18"/>
      <c r="V270" s="18"/>
      <c r="W270" s="18"/>
    </row>
    <row r="271" spans="1:23" ht="13">
      <c r="B271" t="b">
        <f t="shared" ref="B271:D273" si="168">AND($F267,(_xlfn.XOR(B267,NOT($F262))))</f>
        <v>1</v>
      </c>
      <c r="C271" t="b">
        <f t="shared" si="168"/>
        <v>0</v>
      </c>
      <c r="D271" t="b">
        <f t="shared" si="168"/>
        <v>1</v>
      </c>
      <c r="H271" t="b">
        <f t="shared" si="167"/>
        <v>1</v>
      </c>
      <c r="I271" t="b">
        <f t="shared" si="167"/>
        <v>0</v>
      </c>
      <c r="J271" t="b">
        <f t="shared" si="167"/>
        <v>1</v>
      </c>
      <c r="T271" s="18"/>
      <c r="U271" s="18"/>
      <c r="V271" s="18"/>
      <c r="W271" s="18"/>
    </row>
    <row r="272" spans="1:23" ht="13">
      <c r="A272" s="2"/>
      <c r="B272" t="b">
        <f t="shared" si="168"/>
        <v>1</v>
      </c>
      <c r="C272" t="b">
        <f t="shared" si="168"/>
        <v>0</v>
      </c>
      <c r="D272" t="b">
        <f t="shared" si="168"/>
        <v>1</v>
      </c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18"/>
      <c r="U272" s="19"/>
      <c r="V272" s="4"/>
      <c r="W272" s="19"/>
    </row>
    <row r="273" spans="1:23" ht="13">
      <c r="A273" s="2"/>
      <c r="B273" t="b">
        <f t="shared" si="168"/>
        <v>1</v>
      </c>
      <c r="C273" t="b">
        <f t="shared" si="168"/>
        <v>0</v>
      </c>
      <c r="D273" t="b">
        <f t="shared" si="168"/>
        <v>1</v>
      </c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18"/>
      <c r="U273" s="19"/>
      <c r="V273" s="4"/>
      <c r="W273" s="19"/>
    </row>
    <row r="274" spans="1:23" ht="13">
      <c r="B274" s="18"/>
      <c r="C274" s="18"/>
      <c r="D274" s="18"/>
      <c r="E274" s="18"/>
      <c r="F274" s="18"/>
      <c r="G274" s="18"/>
      <c r="H274" s="18"/>
      <c r="I274" s="5"/>
      <c r="J274" s="4"/>
      <c r="K274" s="18"/>
      <c r="L274" s="4"/>
      <c r="M274" s="18"/>
      <c r="N274" s="19"/>
      <c r="O274" s="18"/>
      <c r="P274" s="5"/>
      <c r="Q274" s="5"/>
      <c r="R274" s="5"/>
      <c r="S274" s="5"/>
      <c r="T274" s="18"/>
      <c r="U274" s="19"/>
      <c r="V274" s="4"/>
      <c r="W274" s="19"/>
    </row>
    <row r="275" spans="1:23" ht="13">
      <c r="A275" s="2" t="s">
        <v>80</v>
      </c>
      <c r="B275" s="39" t="s">
        <v>27</v>
      </c>
      <c r="C275" s="38"/>
      <c r="D275" s="38"/>
      <c r="E275" s="2" t="s">
        <v>28</v>
      </c>
      <c r="F275" s="2" t="s">
        <v>29</v>
      </c>
      <c r="G275" s="6"/>
      <c r="H275" s="39" t="s">
        <v>30</v>
      </c>
      <c r="I275" s="38"/>
      <c r="J275" s="38"/>
      <c r="K275" s="2" t="s">
        <v>31</v>
      </c>
      <c r="L275" s="2" t="s">
        <v>37</v>
      </c>
      <c r="N275" s="39" t="s">
        <v>38</v>
      </c>
      <c r="O275" s="38"/>
      <c r="P275" s="2" t="s">
        <v>39</v>
      </c>
      <c r="Q275" s="2" t="s">
        <v>32</v>
      </c>
      <c r="R275" s="2" t="s">
        <v>81</v>
      </c>
      <c r="S275" s="2" t="s">
        <v>34</v>
      </c>
      <c r="T275" s="20"/>
      <c r="U275" s="28"/>
      <c r="V275" s="4"/>
      <c r="W275" s="19"/>
    </row>
    <row r="276" spans="1:23" ht="13">
      <c r="A276" s="1">
        <f>$D$6</f>
        <v>0</v>
      </c>
      <c r="B276" s="1">
        <v>1</v>
      </c>
      <c r="C276" s="1">
        <v>0</v>
      </c>
      <c r="D276" s="1">
        <v>0</v>
      </c>
      <c r="E276" s="1">
        <v>2</v>
      </c>
      <c r="F276" t="b">
        <f t="shared" ref="F276:F278" si="169">COUNTIF(B281:D281, TRUE)&gt;=E276</f>
        <v>1</v>
      </c>
      <c r="H276" s="1">
        <v>1</v>
      </c>
      <c r="I276" s="1">
        <v>0</v>
      </c>
      <c r="J276" s="1">
        <v>1</v>
      </c>
      <c r="K276" s="1">
        <v>1</v>
      </c>
      <c r="L276" t="b">
        <f t="shared" ref="L276:L277" si="170">COUNTIF(H281:J281, TRUE)&gt;=K276</f>
        <v>0</v>
      </c>
      <c r="N276" s="14">
        <v>0</v>
      </c>
      <c r="O276" s="17" t="b">
        <f t="shared" ref="O276:O278" si="171">IF(R267,NOT(O262),O262)</f>
        <v>1</v>
      </c>
      <c r="P276" s="1">
        <v>0</v>
      </c>
      <c r="Q276" t="b">
        <f t="shared" ref="Q276:Q278" si="172">COUNTIF(N281:O281, TRUE)&gt;=P276</f>
        <v>1</v>
      </c>
      <c r="R276">
        <f>$H$6</f>
        <v>0</v>
      </c>
      <c r="S276" t="b">
        <f>_xlfn.XOR(Q276,R276)</f>
        <v>1</v>
      </c>
      <c r="T276" s="18"/>
      <c r="U276" s="18"/>
      <c r="V276" s="18"/>
      <c r="W276" s="18"/>
    </row>
    <row r="277" spans="1:23" ht="13">
      <c r="A277" s="1">
        <f>$E$6</f>
        <v>0</v>
      </c>
      <c r="B277" s="1">
        <v>0</v>
      </c>
      <c r="C277" s="1">
        <v>1</v>
      </c>
      <c r="D277" s="1">
        <v>1</v>
      </c>
      <c r="E277" s="1">
        <v>2</v>
      </c>
      <c r="F277" t="b">
        <f t="shared" si="169"/>
        <v>0</v>
      </c>
      <c r="H277" s="1">
        <v>1</v>
      </c>
      <c r="I277" s="1">
        <v>1</v>
      </c>
      <c r="J277" s="1">
        <v>1</v>
      </c>
      <c r="K277" s="1">
        <v>2</v>
      </c>
      <c r="L277" t="b">
        <f t="shared" si="170"/>
        <v>0</v>
      </c>
      <c r="N277" s="14">
        <v>1</v>
      </c>
      <c r="O277" s="17">
        <f t="shared" si="171"/>
        <v>0</v>
      </c>
      <c r="P277" s="1">
        <v>1</v>
      </c>
      <c r="Q277" t="b">
        <f t="shared" si="172"/>
        <v>1</v>
      </c>
      <c r="R277">
        <f>$I$6</f>
        <v>1</v>
      </c>
      <c r="S277" t="b">
        <f>_xlfn.XOR(Q277,R277)</f>
        <v>0</v>
      </c>
      <c r="T277" s="18"/>
      <c r="U277" s="5"/>
      <c r="V277" s="18"/>
      <c r="W277" s="19"/>
    </row>
    <row r="278" spans="1:23" ht="13">
      <c r="A278">
        <f>$F$6</f>
        <v>1</v>
      </c>
      <c r="B278" s="1">
        <v>1</v>
      </c>
      <c r="C278" s="1">
        <v>0</v>
      </c>
      <c r="D278" s="1">
        <v>0</v>
      </c>
      <c r="E278" s="1">
        <v>2</v>
      </c>
      <c r="F278" t="b">
        <f t="shared" si="169"/>
        <v>1</v>
      </c>
      <c r="N278" s="14">
        <v>1</v>
      </c>
      <c r="O278" s="17" t="b">
        <f t="shared" si="171"/>
        <v>0</v>
      </c>
      <c r="P278" s="1">
        <v>2</v>
      </c>
      <c r="Q278" t="b">
        <f t="shared" si="172"/>
        <v>0</v>
      </c>
      <c r="R278">
        <f>$J$6</f>
        <v>0</v>
      </c>
      <c r="S278" t="b">
        <f>_xlfn.XOR(Q278,R278)</f>
        <v>0</v>
      </c>
      <c r="T278" s="18"/>
      <c r="U278" s="5"/>
      <c r="V278" s="18"/>
      <c r="W278" s="19"/>
    </row>
    <row r="279" spans="1:23" ht="13">
      <c r="T279" s="18"/>
      <c r="U279" s="5"/>
      <c r="V279" s="18"/>
      <c r="W279" s="19"/>
    </row>
    <row r="280" spans="1:23" ht="13">
      <c r="B280" s="1" t="s">
        <v>182</v>
      </c>
      <c r="E280" s="1" t="s">
        <v>67</v>
      </c>
      <c r="F280" s="1" t="s">
        <v>34</v>
      </c>
      <c r="H280" s="1" t="s">
        <v>183</v>
      </c>
      <c r="K280" s="1" t="s">
        <v>76</v>
      </c>
      <c r="L280" s="1" t="s">
        <v>44</v>
      </c>
      <c r="N280" s="1" t="s">
        <v>184</v>
      </c>
      <c r="Q280" s="1" t="s">
        <v>70</v>
      </c>
      <c r="S280" s="1" t="s">
        <v>102</v>
      </c>
      <c r="T280" s="18"/>
      <c r="U280" s="5"/>
      <c r="V280" s="18"/>
      <c r="W280" s="19"/>
    </row>
    <row r="281" spans="1:23" ht="18">
      <c r="B281" t="b">
        <f>_xlfn.XOR($A276,B276)</f>
        <v>1</v>
      </c>
      <c r="C281" t="b">
        <f>_xlfn.XOR($A277,C276)</f>
        <v>0</v>
      </c>
      <c r="D281" t="b">
        <f>_xlfn.XOR($A278,D276)</f>
        <v>1</v>
      </c>
      <c r="E281">
        <f t="shared" ref="E281:E283" si="173">IF(F281,IF(F276,1,-1),0)</f>
        <v>1</v>
      </c>
      <c r="F281" t="b">
        <f>OR(H284:H285)</f>
        <v>1</v>
      </c>
      <c r="H281" t="b">
        <f>_xlfn.XOR($F276,$H276)</f>
        <v>0</v>
      </c>
      <c r="I281" t="b">
        <f>_xlfn.XOR($F277,$I276)</f>
        <v>0</v>
      </c>
      <c r="J281" t="b">
        <f>_xlfn.XOR($F278,$J276)</f>
        <v>0</v>
      </c>
      <c r="K281">
        <f t="shared" ref="K281:K282" si="174">IF(L281,IF(L276,1,-1),0)</f>
        <v>0</v>
      </c>
      <c r="L281" t="b">
        <f>OR(Q281:Q283)</f>
        <v>0</v>
      </c>
      <c r="N281" t="b">
        <f>_xlfn.XOR($L276,$N276)</f>
        <v>0</v>
      </c>
      <c r="O281" t="b">
        <f>_xlfn.XOR($L277,$O276)</f>
        <v>1</v>
      </c>
      <c r="Q281" t="b">
        <f t="shared" ref="Q281:R283" si="175">AND($S276,(_xlfn.XOR(N281,NOT($Q276))))</f>
        <v>0</v>
      </c>
      <c r="R281" t="b">
        <f t="shared" si="175"/>
        <v>1</v>
      </c>
      <c r="S281" s="22">
        <f t="shared" ref="S281:S283" si="176">IF($S276,IF(Q276,1,-1),0)</f>
        <v>1</v>
      </c>
      <c r="T281" s="18"/>
      <c r="U281" s="18"/>
      <c r="V281" s="18"/>
      <c r="W281" s="18"/>
    </row>
    <row r="282" spans="1:23" ht="18">
      <c r="B282" t="b">
        <f>_xlfn.XOR($A276,B277)</f>
        <v>0</v>
      </c>
      <c r="C282" t="b">
        <f>_xlfn.XOR($A277,C277)</f>
        <v>1</v>
      </c>
      <c r="D282" t="b">
        <f>_xlfn.XOR($A278,D277)</f>
        <v>0</v>
      </c>
      <c r="E282">
        <f t="shared" si="173"/>
        <v>0</v>
      </c>
      <c r="F282" t="b">
        <f>OR(I284:I285)</f>
        <v>0</v>
      </c>
      <c r="H282" t="b">
        <f>_xlfn.XOR($F276,$H277)</f>
        <v>0</v>
      </c>
      <c r="I282" t="b">
        <f>_xlfn.XOR($F277,$I277)</f>
        <v>1</v>
      </c>
      <c r="J282" t="b">
        <f>_xlfn.XOR($F278,$J277)</f>
        <v>0</v>
      </c>
      <c r="K282">
        <f t="shared" si="174"/>
        <v>-1</v>
      </c>
      <c r="L282" t="b">
        <f>OR(R281:R283)</f>
        <v>1</v>
      </c>
      <c r="N282" t="b">
        <f>_xlfn.XOR($L276,$N277)</f>
        <v>1</v>
      </c>
      <c r="O282" t="b">
        <f>_xlfn.XOR($L277,$O277)</f>
        <v>0</v>
      </c>
      <c r="Q282" t="b">
        <f t="shared" si="175"/>
        <v>0</v>
      </c>
      <c r="R282" t="b">
        <f t="shared" si="175"/>
        <v>0</v>
      </c>
      <c r="S282" s="22">
        <f t="shared" si="176"/>
        <v>0</v>
      </c>
      <c r="U282" s="18"/>
      <c r="V282" s="18"/>
      <c r="W282" s="18"/>
    </row>
    <row r="283" spans="1:23" ht="18">
      <c r="B283" t="b">
        <f>_xlfn.XOR($A276,B278)</f>
        <v>1</v>
      </c>
      <c r="C283" t="b">
        <f>_xlfn.XOR($A277,C278)</f>
        <v>0</v>
      </c>
      <c r="D283" t="b">
        <f>_xlfn.XOR($A278,D278)</f>
        <v>1</v>
      </c>
      <c r="E283">
        <f t="shared" si="173"/>
        <v>1</v>
      </c>
      <c r="F283" t="b">
        <f>OR(J284:J285)</f>
        <v>1</v>
      </c>
      <c r="H283" s="1" t="s">
        <v>56</v>
      </c>
      <c r="N283" t="b">
        <f>_xlfn.XOR($L276,$N278)</f>
        <v>1</v>
      </c>
      <c r="O283" t="b">
        <f>_xlfn.XOR($L277,$O278)</f>
        <v>0</v>
      </c>
      <c r="Q283" t="b">
        <f t="shared" si="175"/>
        <v>0</v>
      </c>
      <c r="R283" t="b">
        <f t="shared" si="175"/>
        <v>0</v>
      </c>
      <c r="S283" s="22">
        <f t="shared" si="176"/>
        <v>0</v>
      </c>
      <c r="T283" s="18"/>
      <c r="U283" s="18"/>
      <c r="V283" s="18"/>
      <c r="W283" s="18"/>
    </row>
    <row r="284" spans="1:23" ht="13">
      <c r="B284" s="1" t="s">
        <v>99</v>
      </c>
      <c r="H284" t="b">
        <f t="shared" ref="H284:J285" si="177">AND($L281,(_xlfn.XOR(H281,NOT($L276))))</f>
        <v>0</v>
      </c>
      <c r="I284" t="b">
        <f t="shared" si="177"/>
        <v>0</v>
      </c>
      <c r="J284" t="b">
        <f t="shared" si="177"/>
        <v>0</v>
      </c>
    </row>
    <row r="285" spans="1:23" ht="13">
      <c r="B285" t="b">
        <f t="shared" ref="B285:D287" si="178">AND($F281,(_xlfn.XOR(B281,NOT($F276))))</f>
        <v>1</v>
      </c>
      <c r="C285" t="b">
        <f t="shared" si="178"/>
        <v>0</v>
      </c>
      <c r="D285" t="b">
        <f t="shared" si="178"/>
        <v>1</v>
      </c>
      <c r="H285" t="b">
        <f t="shared" si="177"/>
        <v>1</v>
      </c>
      <c r="I285" t="b">
        <f t="shared" si="177"/>
        <v>0</v>
      </c>
      <c r="J285" t="b">
        <f t="shared" si="177"/>
        <v>1</v>
      </c>
      <c r="T285" s="18"/>
      <c r="U285" s="18"/>
      <c r="V285" s="18"/>
      <c r="W285" s="18"/>
    </row>
    <row r="286" spans="1:23" ht="13">
      <c r="A286" s="2"/>
      <c r="B286" t="b">
        <f t="shared" si="178"/>
        <v>0</v>
      </c>
      <c r="C286" t="b">
        <f t="shared" si="178"/>
        <v>0</v>
      </c>
      <c r="D286" t="b">
        <f t="shared" si="178"/>
        <v>0</v>
      </c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18"/>
      <c r="U286" s="18"/>
      <c r="V286" s="18"/>
      <c r="W286" s="18"/>
    </row>
    <row r="287" spans="1:23" ht="13">
      <c r="A287" s="2"/>
      <c r="B287" t="b">
        <f t="shared" si="178"/>
        <v>1</v>
      </c>
      <c r="C287" t="b">
        <f t="shared" si="178"/>
        <v>0</v>
      </c>
      <c r="D287" t="b">
        <f t="shared" si="178"/>
        <v>1</v>
      </c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18"/>
      <c r="U287" s="19"/>
      <c r="V287" s="4"/>
      <c r="W287" s="19"/>
    </row>
    <row r="288" spans="1:23" ht="13">
      <c r="B288" s="5"/>
      <c r="C288" s="4"/>
      <c r="D288" s="4"/>
      <c r="E288" s="4"/>
      <c r="F288" s="18"/>
      <c r="G288" s="19"/>
      <c r="H288" s="18"/>
      <c r="I288" s="5"/>
      <c r="J288" s="4"/>
      <c r="K288" s="18"/>
      <c r="L288" s="5"/>
      <c r="M288" s="18"/>
      <c r="N288" s="19"/>
      <c r="O288" s="18"/>
      <c r="P288" s="5"/>
      <c r="Q288" s="4"/>
      <c r="R288" s="4"/>
      <c r="S288" s="4"/>
      <c r="T288" s="18"/>
      <c r="U288" s="19"/>
      <c r="V288" s="4"/>
      <c r="W288" s="19"/>
    </row>
    <row r="289" spans="1:25" ht="13">
      <c r="A289" s="13"/>
      <c r="B289" s="5"/>
      <c r="C289" s="5"/>
      <c r="D289" s="5"/>
      <c r="E289" s="5"/>
      <c r="F289" s="5"/>
      <c r="G289" s="5"/>
      <c r="H289" s="5"/>
      <c r="I289" s="5"/>
      <c r="J289" s="4"/>
      <c r="K289" s="5"/>
      <c r="L289" s="4"/>
      <c r="M289" s="5"/>
      <c r="N289" s="5"/>
      <c r="O289" s="5"/>
      <c r="P289" s="5"/>
      <c r="Q289" s="4"/>
      <c r="R289" s="4"/>
      <c r="S289" s="4"/>
      <c r="T289" s="5"/>
      <c r="U289" s="5"/>
      <c r="V289" s="4"/>
      <c r="W289" s="5"/>
      <c r="X289" s="13"/>
      <c r="Y289" s="13"/>
    </row>
    <row r="290" spans="1:25" ht="13">
      <c r="A290" s="13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P290" s="5"/>
      <c r="Q290" s="13"/>
      <c r="R290" s="13"/>
      <c r="S290" s="13"/>
      <c r="T290" s="5"/>
      <c r="U290" s="5"/>
      <c r="V290" s="4"/>
      <c r="W290" s="5"/>
      <c r="X290" s="13"/>
      <c r="Y290" s="13"/>
    </row>
    <row r="291" spans="1:25" ht="13">
      <c r="A291" s="13"/>
      <c r="B291" s="5"/>
      <c r="C291" s="5"/>
      <c r="D291" s="5"/>
      <c r="E291" s="8" t="s">
        <v>161</v>
      </c>
      <c r="F291" s="5"/>
      <c r="G291" s="5"/>
      <c r="H291" s="8" t="s">
        <v>162</v>
      </c>
      <c r="I291" s="5"/>
      <c r="K291" s="5"/>
      <c r="L291" s="13"/>
      <c r="M291" s="5"/>
      <c r="P291" s="5"/>
      <c r="Q291" s="13"/>
      <c r="R291" s="13"/>
      <c r="S291" s="13"/>
      <c r="T291" s="5"/>
      <c r="U291" s="5"/>
      <c r="V291" s="5"/>
      <c r="W291" s="5"/>
      <c r="X291" s="13"/>
      <c r="Y291" s="13"/>
    </row>
    <row r="292" spans="1:25" ht="13">
      <c r="A292" s="13"/>
      <c r="B292" s="5"/>
      <c r="C292" s="5"/>
      <c r="D292" s="5"/>
      <c r="E292" s="8" t="s">
        <v>163</v>
      </c>
      <c r="F292" s="5"/>
      <c r="G292" s="5"/>
      <c r="H292" s="8" t="s">
        <v>108</v>
      </c>
      <c r="I292" s="5"/>
      <c r="K292" s="5"/>
      <c r="L292" s="13"/>
      <c r="M292" s="5"/>
      <c r="N292" s="4"/>
      <c r="O292" s="4"/>
      <c r="P292" s="4"/>
      <c r="Q292" s="4"/>
      <c r="R292" s="4"/>
      <c r="S292" s="4"/>
      <c r="T292" s="5"/>
      <c r="U292" s="5"/>
      <c r="V292" s="5"/>
      <c r="W292" s="5"/>
      <c r="X292" s="13"/>
      <c r="Y292" s="13"/>
    </row>
    <row r="293" spans="1:25" ht="13">
      <c r="A293" s="13"/>
      <c r="B293" s="5"/>
      <c r="C293" s="5"/>
      <c r="D293" s="5"/>
      <c r="E293" s="8" t="s">
        <v>163</v>
      </c>
      <c r="F293" s="5"/>
      <c r="H293" s="8" t="s">
        <v>164</v>
      </c>
      <c r="I293" s="5"/>
      <c r="K293" s="5"/>
      <c r="L293" s="13"/>
      <c r="M293" s="5"/>
      <c r="N293" s="4"/>
      <c r="O293" s="4"/>
      <c r="P293" s="4"/>
      <c r="Q293" s="4"/>
      <c r="R293" s="4"/>
      <c r="S293" s="5"/>
      <c r="T293" s="5"/>
      <c r="U293" s="5"/>
      <c r="V293" s="5"/>
      <c r="W293" s="5"/>
      <c r="X293" s="13"/>
      <c r="Y293" s="13"/>
    </row>
    <row r="294" spans="1:25" ht="13">
      <c r="A294" s="13"/>
      <c r="B294" s="5"/>
      <c r="C294" s="5"/>
      <c r="D294" s="5"/>
      <c r="E294" s="8" t="s">
        <v>165</v>
      </c>
      <c r="F294" s="5"/>
      <c r="H294" s="8" t="s">
        <v>166</v>
      </c>
      <c r="I294" s="5"/>
      <c r="K294" s="5"/>
      <c r="L294" s="13"/>
      <c r="M294" s="5"/>
      <c r="N294" s="4"/>
      <c r="O294" s="4"/>
      <c r="P294" s="4"/>
      <c r="Q294" s="4"/>
      <c r="R294" s="4"/>
      <c r="S294" s="5"/>
      <c r="T294" s="5"/>
      <c r="U294" s="5"/>
      <c r="V294" s="5"/>
      <c r="W294" s="5"/>
      <c r="X294" s="13"/>
      <c r="Y294" s="13"/>
    </row>
    <row r="295" spans="1:25" ht="13">
      <c r="A295" s="13"/>
      <c r="B295" s="5"/>
      <c r="C295" s="5"/>
      <c r="D295" s="5"/>
      <c r="E295" s="8" t="s">
        <v>163</v>
      </c>
      <c r="F295" s="5"/>
      <c r="H295" s="8" t="s">
        <v>167</v>
      </c>
      <c r="I295" s="5"/>
      <c r="K295" s="5"/>
      <c r="L295" s="5"/>
      <c r="M295" s="5"/>
      <c r="N295" s="4"/>
      <c r="O295" s="4"/>
      <c r="P295" s="4"/>
      <c r="Q295" s="4"/>
      <c r="R295" s="4"/>
      <c r="S295" s="5"/>
      <c r="T295" s="5"/>
      <c r="U295" s="5"/>
      <c r="V295" s="5"/>
      <c r="W295" s="5"/>
      <c r="X295" s="13"/>
      <c r="Y295" s="13"/>
    </row>
    <row r="296" spans="1:25" ht="13">
      <c r="A296" s="13"/>
      <c r="B296" s="5"/>
      <c r="C296" s="5"/>
      <c r="D296" s="5"/>
      <c r="E296" s="8" t="s">
        <v>165</v>
      </c>
      <c r="F296" s="5"/>
      <c r="H296" s="8" t="s">
        <v>168</v>
      </c>
      <c r="I296" s="5"/>
      <c r="K296" s="5"/>
      <c r="L296" s="5"/>
      <c r="M296" s="5"/>
      <c r="N296" s="4"/>
      <c r="O296" s="4"/>
      <c r="P296" s="4"/>
      <c r="Q296" s="4"/>
      <c r="R296" s="4"/>
      <c r="S296" s="5"/>
      <c r="T296" s="5"/>
      <c r="U296" s="5"/>
      <c r="V296" s="5"/>
      <c r="W296" s="5"/>
      <c r="X296" s="13"/>
      <c r="Y296" s="13"/>
    </row>
    <row r="297" spans="1:25" ht="13">
      <c r="A297" s="13"/>
      <c r="B297" s="5"/>
      <c r="C297" s="5"/>
      <c r="D297" s="5"/>
      <c r="E297" s="8" t="s">
        <v>169</v>
      </c>
      <c r="F297" s="5"/>
      <c r="G297" s="4"/>
      <c r="H297" s="8" t="s">
        <v>169</v>
      </c>
      <c r="I297" s="5"/>
      <c r="K297" s="5"/>
      <c r="L297" s="13"/>
      <c r="M297" s="5"/>
      <c r="N297" s="5"/>
      <c r="O297" s="5"/>
      <c r="P297" s="5"/>
      <c r="Q297" s="5"/>
      <c r="R297" s="5"/>
      <c r="S297" s="5"/>
      <c r="T297" s="13"/>
      <c r="U297" s="5"/>
      <c r="V297" s="5"/>
      <c r="W297" s="5"/>
      <c r="X297" s="13"/>
      <c r="Y297" s="13"/>
    </row>
    <row r="298" spans="1:25" ht="13">
      <c r="A298" s="13"/>
      <c r="B298" s="5"/>
      <c r="C298" s="5"/>
      <c r="D298" s="5"/>
      <c r="E298" s="8" t="s">
        <v>169</v>
      </c>
      <c r="F298" s="5"/>
      <c r="G298" s="5"/>
      <c r="H298" s="8" t="s">
        <v>114</v>
      </c>
      <c r="I298" s="5"/>
      <c r="K298" s="5"/>
      <c r="L298" s="5"/>
      <c r="M298" s="5"/>
      <c r="N298" s="4"/>
      <c r="O298" s="4"/>
      <c r="P298" s="4"/>
      <c r="Q298" s="4"/>
      <c r="R298" s="4"/>
      <c r="S298" s="5"/>
      <c r="T298" s="4"/>
      <c r="U298" s="4"/>
      <c r="V298" s="4"/>
      <c r="W298" s="4"/>
      <c r="X298" s="12"/>
      <c r="Y298" s="13"/>
    </row>
    <row r="299" spans="1:25" ht="13">
      <c r="A299" s="13"/>
      <c r="B299" s="13"/>
      <c r="C299" s="13"/>
      <c r="D299" s="13"/>
      <c r="E299" s="8" t="s">
        <v>171</v>
      </c>
      <c r="F299" s="13"/>
      <c r="G299" s="13"/>
      <c r="H299" s="8" t="s">
        <v>172</v>
      </c>
      <c r="I299" s="13"/>
      <c r="K299" s="13"/>
      <c r="L299" s="13"/>
      <c r="M299" s="13"/>
      <c r="N299" s="12"/>
      <c r="O299" s="12"/>
      <c r="P299" s="12"/>
      <c r="Q299" s="12"/>
      <c r="R299" s="12"/>
      <c r="S299" s="13"/>
      <c r="T299" s="12"/>
      <c r="U299" s="12"/>
      <c r="V299" s="12"/>
      <c r="W299" s="12"/>
      <c r="X299" s="12"/>
      <c r="Y299" s="13"/>
    </row>
    <row r="300" spans="1:25" ht="13">
      <c r="A300" s="13"/>
      <c r="B300" s="4"/>
      <c r="C300" s="4"/>
      <c r="D300" s="4"/>
      <c r="F300" s="5"/>
      <c r="G300" s="4"/>
      <c r="I300" s="5"/>
      <c r="J300" s="4"/>
      <c r="K300" s="4"/>
      <c r="L300" s="4"/>
      <c r="M300" s="5"/>
      <c r="N300" s="4"/>
      <c r="O300" s="4"/>
      <c r="P300" s="4"/>
      <c r="Q300" s="4"/>
      <c r="R300" s="4"/>
      <c r="S300" s="5"/>
      <c r="T300" s="4"/>
      <c r="U300" s="4"/>
      <c r="V300" s="4"/>
      <c r="W300" s="4"/>
      <c r="X300" s="12"/>
      <c r="Y300" s="13"/>
    </row>
    <row r="301" spans="1:25" ht="13">
      <c r="A301" s="13"/>
      <c r="B301" s="4"/>
      <c r="C301" s="4"/>
      <c r="D301" s="4"/>
      <c r="F301" s="5"/>
      <c r="G301" s="4"/>
      <c r="I301" s="5"/>
      <c r="J301" s="4"/>
      <c r="K301" s="4"/>
      <c r="L301" s="5"/>
      <c r="M301" s="5"/>
      <c r="N301" s="4"/>
      <c r="O301" s="4"/>
      <c r="P301" s="4"/>
      <c r="Q301" s="4"/>
      <c r="R301" s="4"/>
      <c r="S301" s="5"/>
      <c r="T301" s="4"/>
      <c r="U301" s="4"/>
      <c r="V301" s="4"/>
      <c r="W301" s="4"/>
      <c r="X301" s="12"/>
      <c r="Y301" s="13"/>
    </row>
    <row r="302" spans="1:25" ht="13">
      <c r="A302" s="13"/>
      <c r="B302" s="5"/>
      <c r="C302" s="4"/>
      <c r="D302" s="4"/>
      <c r="F302" s="5"/>
      <c r="G302" s="5"/>
      <c r="I302" s="5"/>
      <c r="J302" s="5"/>
      <c r="K302" s="5"/>
      <c r="L302" s="5"/>
      <c r="M302" s="5"/>
      <c r="N302" s="4"/>
      <c r="O302" s="4"/>
      <c r="P302" s="4"/>
      <c r="Q302" s="4"/>
      <c r="R302" s="4"/>
      <c r="S302" s="5"/>
      <c r="T302" s="4"/>
      <c r="U302" s="4"/>
      <c r="V302" s="4"/>
      <c r="W302" s="4"/>
      <c r="X302" s="12"/>
      <c r="Y302" s="13"/>
    </row>
    <row r="303" spans="1:25" ht="13">
      <c r="A303" s="13"/>
      <c r="B303" s="5"/>
      <c r="C303" s="4"/>
      <c r="D303" s="4"/>
      <c r="F303" s="5"/>
      <c r="G303" s="5"/>
      <c r="I303" s="5"/>
      <c r="J303" s="4"/>
      <c r="K303" s="5"/>
      <c r="L303" s="5"/>
      <c r="M303" s="5"/>
      <c r="N303" s="5"/>
      <c r="O303" s="5"/>
      <c r="P303" s="4"/>
      <c r="Q303" s="5"/>
      <c r="R303" s="5"/>
      <c r="S303" s="5"/>
      <c r="T303" s="5"/>
      <c r="U303" s="5"/>
      <c r="V303" s="4"/>
      <c r="W303" s="5"/>
      <c r="X303" s="13"/>
      <c r="Y303" s="13"/>
    </row>
    <row r="304" spans="1:25" ht="13">
      <c r="A304" s="13"/>
      <c r="B304" s="5"/>
      <c r="C304" s="5"/>
      <c r="D304" s="5"/>
      <c r="F304" s="5"/>
      <c r="G304" s="5"/>
      <c r="I304" s="5"/>
      <c r="J304" s="4"/>
      <c r="K304" s="5"/>
      <c r="L304" s="4"/>
      <c r="M304" s="5"/>
      <c r="N304" s="5"/>
      <c r="O304" s="5"/>
      <c r="P304" s="5"/>
      <c r="Q304" s="5"/>
      <c r="R304" s="5"/>
      <c r="S304" s="5"/>
      <c r="T304" s="5"/>
      <c r="U304" s="5"/>
      <c r="V304" s="4"/>
      <c r="W304" s="5"/>
      <c r="X304" s="13"/>
      <c r="Y304" s="13"/>
    </row>
    <row r="305" spans="1:25" ht="13">
      <c r="A305" s="13"/>
      <c r="B305" s="5"/>
      <c r="C305" s="5"/>
      <c r="D305" s="5"/>
      <c r="F305" s="5"/>
      <c r="G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4"/>
      <c r="W305" s="5"/>
      <c r="X305" s="13"/>
      <c r="Y305" s="13"/>
    </row>
    <row r="306" spans="1:25" ht="13">
      <c r="A306" s="13"/>
      <c r="B306" s="5"/>
      <c r="C306" s="5"/>
      <c r="D306" s="5"/>
      <c r="F306" s="5"/>
      <c r="G306" s="5"/>
      <c r="I306" s="5"/>
      <c r="J306" s="5"/>
      <c r="K306" s="5"/>
      <c r="L306" s="13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13"/>
      <c r="Y306" s="13"/>
    </row>
    <row r="307" spans="1:25" ht="13">
      <c r="A307" s="13"/>
      <c r="B307" s="5"/>
      <c r="C307" s="5"/>
      <c r="D307" s="5"/>
      <c r="F307" s="5"/>
      <c r="G307" s="5"/>
      <c r="I307" s="5"/>
      <c r="J307" s="5"/>
      <c r="K307" s="5"/>
      <c r="L307" s="13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13"/>
      <c r="Y307" s="13"/>
    </row>
    <row r="308" spans="1:25" ht="13">
      <c r="A308" s="13"/>
      <c r="B308" s="5"/>
      <c r="C308" s="5"/>
      <c r="D308" s="5"/>
      <c r="F308" s="5"/>
      <c r="G308" s="5"/>
      <c r="I308" s="5"/>
      <c r="J308" s="5"/>
      <c r="K308" s="5"/>
      <c r="L308" s="13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13"/>
      <c r="Y308" s="13"/>
    </row>
    <row r="309" spans="1:25" ht="13">
      <c r="A309" s="13"/>
      <c r="B309" s="5"/>
      <c r="C309" s="5"/>
      <c r="D309" s="5"/>
      <c r="F309" s="5"/>
      <c r="G309" s="5"/>
      <c r="H309" s="8"/>
      <c r="I309" s="5"/>
      <c r="J309" s="5"/>
      <c r="K309" s="5"/>
      <c r="L309" s="13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13"/>
      <c r="Y309" s="13"/>
    </row>
    <row r="310" spans="1:25" ht="13">
      <c r="A310" s="13"/>
      <c r="B310" s="5"/>
      <c r="C310" s="5"/>
      <c r="D310" s="5"/>
      <c r="F310" s="5"/>
      <c r="G310" s="5"/>
      <c r="H310" s="8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13"/>
      <c r="Y310" s="13"/>
    </row>
    <row r="311" spans="1:25" ht="13">
      <c r="A311" s="13"/>
      <c r="B311" s="5"/>
      <c r="C311" s="5"/>
      <c r="D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13"/>
      <c r="Y311" s="13"/>
    </row>
    <row r="312" spans="1:25" ht="13">
      <c r="A312" s="13"/>
      <c r="B312" s="5"/>
      <c r="C312" s="5"/>
      <c r="D312" s="5"/>
      <c r="F312" s="5"/>
      <c r="G312" s="5"/>
      <c r="H312" s="5"/>
      <c r="I312" s="5"/>
      <c r="J312" s="5"/>
      <c r="K312" s="5"/>
      <c r="L312" s="13"/>
      <c r="M312" s="5"/>
      <c r="N312" s="5"/>
      <c r="O312" s="5"/>
      <c r="P312" s="5"/>
      <c r="Q312" s="5"/>
      <c r="R312" s="5"/>
      <c r="S312" s="5"/>
      <c r="T312" s="13"/>
      <c r="U312" s="5"/>
      <c r="V312" s="5"/>
      <c r="W312" s="5"/>
      <c r="X312" s="13"/>
      <c r="Y312" s="13"/>
    </row>
    <row r="313" spans="1:25" ht="13">
      <c r="A313" s="13"/>
      <c r="B313" s="5"/>
      <c r="C313" s="5"/>
      <c r="D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13"/>
      <c r="Y313" s="13"/>
    </row>
  </sheetData>
  <mergeCells count="65">
    <mergeCell ref="N121:O121"/>
    <mergeCell ref="N93:O93"/>
    <mergeCell ref="H93:J93"/>
    <mergeCell ref="N65:O65"/>
    <mergeCell ref="N53:O53"/>
    <mergeCell ref="H65:J65"/>
    <mergeCell ref="H53:J53"/>
    <mergeCell ref="N79:O79"/>
    <mergeCell ref="H79:J79"/>
    <mergeCell ref="N107:O107"/>
    <mergeCell ref="H107:J107"/>
    <mergeCell ref="N205:O205"/>
    <mergeCell ref="H205:J205"/>
    <mergeCell ref="H177:J177"/>
    <mergeCell ref="N275:O275"/>
    <mergeCell ref="H261:J261"/>
    <mergeCell ref="H247:J247"/>
    <mergeCell ref="H233:J233"/>
    <mergeCell ref="H191:J191"/>
    <mergeCell ref="N191:O191"/>
    <mergeCell ref="N247:O247"/>
    <mergeCell ref="N233:O233"/>
    <mergeCell ref="N261:O261"/>
    <mergeCell ref="N219:O219"/>
    <mergeCell ref="H219:J219"/>
    <mergeCell ref="N135:O135"/>
    <mergeCell ref="N177:O177"/>
    <mergeCell ref="B177:D177"/>
    <mergeCell ref="B163:D163"/>
    <mergeCell ref="B149:D149"/>
    <mergeCell ref="H163:J163"/>
    <mergeCell ref="N163:O163"/>
    <mergeCell ref="H149:J149"/>
    <mergeCell ref="N149:O149"/>
    <mergeCell ref="B93:D93"/>
    <mergeCell ref="B135:D135"/>
    <mergeCell ref="B121:D121"/>
    <mergeCell ref="B107:D107"/>
    <mergeCell ref="H275:J275"/>
    <mergeCell ref="B275:D275"/>
    <mergeCell ref="H135:J135"/>
    <mergeCell ref="H121:J121"/>
    <mergeCell ref="B247:D247"/>
    <mergeCell ref="B191:D191"/>
    <mergeCell ref="B261:D261"/>
    <mergeCell ref="B219:D219"/>
    <mergeCell ref="B205:D205"/>
    <mergeCell ref="B233:D233"/>
    <mergeCell ref="N11:O11"/>
    <mergeCell ref="B11:D11"/>
    <mergeCell ref="H11:J11"/>
    <mergeCell ref="D1:F1"/>
    <mergeCell ref="H1:J1"/>
    <mergeCell ref="H21:J21"/>
    <mergeCell ref="N21:O21"/>
    <mergeCell ref="B31:D31"/>
    <mergeCell ref="B79:D79"/>
    <mergeCell ref="B41:D41"/>
    <mergeCell ref="B53:D53"/>
    <mergeCell ref="B65:D65"/>
    <mergeCell ref="B21:D21"/>
    <mergeCell ref="H31:J31"/>
    <mergeCell ref="H41:J41"/>
    <mergeCell ref="N41:O41"/>
    <mergeCell ref="N31:O31"/>
  </mergeCells>
  <printOptions horizontalCentered="1" gridLines="1"/>
  <pageMargins left="0.7" right="0.7" top="0.75" bottom="0.75" header="0" footer="0"/>
  <pageSetup paperSize="9" fitToHeight="0" pageOrder="overThenDown" orientation="landscape" cellComments="atEnd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Z313"/>
  <sheetViews>
    <sheetView tabSelected="1" zoomScale="160" zoomScaleNormal="160" workbookViewId="0">
      <selection activeCell="AQ10" sqref="AQ10"/>
    </sheetView>
  </sheetViews>
  <sheetFormatPr baseColWidth="10" defaultColWidth="4" defaultRowHeight="13" customHeight="1"/>
  <cols>
    <col min="26" max="26" width="4.1640625" customWidth="1"/>
    <col min="29" max="29" width="4.1640625" customWidth="1"/>
    <col min="31" max="31" width="4.33203125" customWidth="1"/>
    <col min="32" max="34" width="4" customWidth="1"/>
    <col min="35" max="35" width="4.1640625" customWidth="1"/>
  </cols>
  <sheetData>
    <row r="1" spans="1:52" ht="13" customHeight="1">
      <c r="A1" s="1"/>
      <c r="B1" s="1"/>
      <c r="D1" s="39" t="s">
        <v>1</v>
      </c>
      <c r="E1" s="38"/>
      <c r="F1" s="38"/>
      <c r="G1" s="38"/>
      <c r="H1" s="38"/>
      <c r="I1" s="38"/>
      <c r="J1" s="38"/>
      <c r="K1" s="38"/>
      <c r="N1" s="39" t="s">
        <v>2</v>
      </c>
      <c r="O1" s="38"/>
      <c r="P1" s="38"/>
      <c r="Q1" s="38"/>
      <c r="R1" s="38"/>
      <c r="S1" s="38"/>
      <c r="T1" s="38"/>
      <c r="U1" s="38"/>
      <c r="Z1" s="1" t="s">
        <v>3</v>
      </c>
    </row>
    <row r="2" spans="1:52" ht="13" customHeight="1">
      <c r="A2" s="1"/>
      <c r="B2" s="1">
        <v>2</v>
      </c>
      <c r="D2" s="3">
        <v>0</v>
      </c>
      <c r="E2" s="3">
        <v>1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M2">
        <f t="shared" ref="M2:M9" si="0">B2^2</f>
        <v>4</v>
      </c>
      <c r="N2" s="3">
        <v>0</v>
      </c>
      <c r="O2" s="3">
        <v>0</v>
      </c>
      <c r="P2" s="3">
        <v>1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Z2" s="1" t="s">
        <v>6</v>
      </c>
      <c r="AD2" s="1" t="s">
        <v>7</v>
      </c>
      <c r="AE2" s="1" t="s">
        <v>8</v>
      </c>
    </row>
    <row r="3" spans="1:52" ht="13" customHeight="1">
      <c r="A3" s="1"/>
      <c r="B3" s="1">
        <f t="shared" ref="B3:B9" si="1">B2+1</f>
        <v>3</v>
      </c>
      <c r="D3" s="3">
        <v>1</v>
      </c>
      <c r="E3" s="3">
        <v>1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M3">
        <f t="shared" si="0"/>
        <v>9</v>
      </c>
      <c r="N3" s="3">
        <v>1</v>
      </c>
      <c r="O3" s="3">
        <v>0</v>
      </c>
      <c r="P3" s="3">
        <v>0</v>
      </c>
      <c r="Q3" s="3">
        <v>1</v>
      </c>
      <c r="R3" s="3">
        <v>0</v>
      </c>
      <c r="S3" s="3">
        <v>0</v>
      </c>
      <c r="T3" s="3">
        <v>0</v>
      </c>
      <c r="U3" s="3">
        <v>0</v>
      </c>
      <c r="Z3" s="1" t="s">
        <v>10</v>
      </c>
      <c r="AD3" s="1" t="s">
        <v>11</v>
      </c>
      <c r="AE3" s="1" t="s">
        <v>12</v>
      </c>
    </row>
    <row r="4" spans="1:52" ht="13" customHeight="1">
      <c r="A4" s="1"/>
      <c r="B4" s="1">
        <f t="shared" si="1"/>
        <v>4</v>
      </c>
      <c r="D4" s="3">
        <v>0</v>
      </c>
      <c r="E4" s="3">
        <v>0</v>
      </c>
      <c r="F4" s="3">
        <v>1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M4">
        <f t="shared" si="0"/>
        <v>16</v>
      </c>
      <c r="N4" s="7">
        <v>0</v>
      </c>
      <c r="O4" s="7">
        <v>0</v>
      </c>
      <c r="P4" s="7">
        <v>0</v>
      </c>
      <c r="Q4" s="3">
        <v>0</v>
      </c>
      <c r="R4" s="3">
        <v>1</v>
      </c>
      <c r="S4" s="3">
        <v>0</v>
      </c>
      <c r="T4" s="3">
        <v>0</v>
      </c>
      <c r="U4" s="3">
        <v>0</v>
      </c>
      <c r="Z4" s="1" t="s">
        <v>14</v>
      </c>
      <c r="AD4" s="1" t="s">
        <v>15</v>
      </c>
      <c r="AE4" s="1" t="s">
        <v>16</v>
      </c>
    </row>
    <row r="5" spans="1:52" ht="13" customHeight="1">
      <c r="A5" s="1"/>
      <c r="B5" s="1">
        <f t="shared" si="1"/>
        <v>5</v>
      </c>
      <c r="D5" s="3">
        <v>1</v>
      </c>
      <c r="E5" s="3">
        <v>0</v>
      </c>
      <c r="F5" s="3">
        <v>1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M5">
        <f t="shared" si="0"/>
        <v>25</v>
      </c>
      <c r="N5" s="3">
        <v>1</v>
      </c>
      <c r="O5" s="3">
        <v>0</v>
      </c>
      <c r="P5" s="3">
        <v>0</v>
      </c>
      <c r="Q5" s="3">
        <v>1</v>
      </c>
      <c r="R5" s="3">
        <v>1</v>
      </c>
      <c r="S5" s="3">
        <v>0</v>
      </c>
      <c r="T5" s="3">
        <v>0</v>
      </c>
      <c r="U5" s="3">
        <v>0</v>
      </c>
      <c r="Z5" s="1" t="s">
        <v>18</v>
      </c>
    </row>
    <row r="6" spans="1:52" ht="13" customHeight="1">
      <c r="A6" s="1"/>
      <c r="B6" s="1">
        <f t="shared" si="1"/>
        <v>6</v>
      </c>
      <c r="D6" s="3">
        <v>0</v>
      </c>
      <c r="E6" s="3">
        <v>1</v>
      </c>
      <c r="F6" s="3">
        <v>1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M6">
        <f t="shared" si="0"/>
        <v>36</v>
      </c>
      <c r="N6" s="3">
        <v>0</v>
      </c>
      <c r="O6" s="3">
        <v>0</v>
      </c>
      <c r="P6" s="3">
        <v>1</v>
      </c>
      <c r="Q6" s="3">
        <v>0</v>
      </c>
      <c r="R6" s="3">
        <v>0</v>
      </c>
      <c r="S6" s="3">
        <v>1</v>
      </c>
      <c r="T6" s="3">
        <v>0</v>
      </c>
      <c r="U6" s="3">
        <v>0</v>
      </c>
      <c r="Z6" s="1" t="s">
        <v>19</v>
      </c>
    </row>
    <row r="7" spans="1:52" ht="13" customHeight="1">
      <c r="A7" s="1"/>
      <c r="B7" s="1">
        <f t="shared" si="1"/>
        <v>7</v>
      </c>
      <c r="D7" s="3">
        <v>1</v>
      </c>
      <c r="E7" s="3">
        <v>1</v>
      </c>
      <c r="F7" s="3">
        <v>1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M7">
        <f t="shared" si="0"/>
        <v>49</v>
      </c>
      <c r="N7" s="3">
        <v>1</v>
      </c>
      <c r="O7" s="3">
        <v>0</v>
      </c>
      <c r="P7" s="3">
        <v>0</v>
      </c>
      <c r="Q7" s="3">
        <v>0</v>
      </c>
      <c r="R7" s="3">
        <v>1</v>
      </c>
      <c r="S7" s="3">
        <v>1</v>
      </c>
      <c r="T7" s="3">
        <v>0</v>
      </c>
      <c r="U7" s="3">
        <v>0</v>
      </c>
      <c r="Z7" s="1" t="s">
        <v>20</v>
      </c>
      <c r="AO7" s="34">
        <v>0</v>
      </c>
      <c r="AP7" s="9">
        <v>0</v>
      </c>
      <c r="AQ7">
        <f t="array" ref="AQ7:AX7">TRANSPOSE(AO7:AO14)</f>
        <v>0</v>
      </c>
      <c r="AR7">
        <v>1</v>
      </c>
      <c r="AS7">
        <v>4</v>
      </c>
      <c r="AT7">
        <v>3</v>
      </c>
      <c r="AU7">
        <v>1</v>
      </c>
      <c r="AV7">
        <v>3</v>
      </c>
      <c r="AW7">
        <v>7</v>
      </c>
      <c r="AX7">
        <v>1</v>
      </c>
    </row>
    <row r="8" spans="1:52" ht="13" customHeight="1">
      <c r="A8" s="1"/>
      <c r="B8" s="1">
        <f t="shared" si="1"/>
        <v>8</v>
      </c>
      <c r="D8" s="3">
        <v>0</v>
      </c>
      <c r="E8" s="3">
        <v>0</v>
      </c>
      <c r="F8" s="3">
        <v>0</v>
      </c>
      <c r="G8" s="3">
        <v>1</v>
      </c>
      <c r="H8" s="3">
        <v>0</v>
      </c>
      <c r="I8" s="3">
        <v>0</v>
      </c>
      <c r="J8" s="3">
        <v>0</v>
      </c>
      <c r="K8" s="3">
        <v>0</v>
      </c>
      <c r="M8">
        <f t="shared" si="0"/>
        <v>64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1</v>
      </c>
      <c r="U8" s="3">
        <v>0</v>
      </c>
      <c r="Z8" s="1" t="s">
        <v>40</v>
      </c>
      <c r="AO8" s="34">
        <v>1</v>
      </c>
      <c r="AP8" s="9">
        <v>1</v>
      </c>
      <c r="AQ8">
        <f t="array" ref="AQ8:AX8">TRANSPOSE(AP7:AP14)</f>
        <v>0</v>
      </c>
      <c r="AR8">
        <v>1</v>
      </c>
      <c r="AS8">
        <v>4</v>
      </c>
      <c r="AT8">
        <v>3</v>
      </c>
      <c r="AU8">
        <v>1</v>
      </c>
      <c r="AV8">
        <v>3</v>
      </c>
      <c r="AW8">
        <v>7</v>
      </c>
      <c r="AX8">
        <v>1</v>
      </c>
    </row>
    <row r="9" spans="1:52" ht="13" customHeight="1">
      <c r="A9" s="1"/>
      <c r="B9" s="1">
        <f t="shared" si="1"/>
        <v>9</v>
      </c>
      <c r="D9" s="3">
        <v>1</v>
      </c>
      <c r="E9" s="3">
        <v>0</v>
      </c>
      <c r="F9" s="3">
        <v>0</v>
      </c>
      <c r="G9" s="3">
        <v>1</v>
      </c>
      <c r="H9" s="3">
        <v>0</v>
      </c>
      <c r="I9" s="3">
        <v>0</v>
      </c>
      <c r="J9" s="3">
        <v>0</v>
      </c>
      <c r="K9" s="3">
        <v>0</v>
      </c>
      <c r="M9">
        <f t="shared" si="0"/>
        <v>81</v>
      </c>
      <c r="N9" s="3">
        <v>1</v>
      </c>
      <c r="O9" s="3">
        <v>0</v>
      </c>
      <c r="P9" s="3">
        <v>0</v>
      </c>
      <c r="Q9" s="3">
        <v>0</v>
      </c>
      <c r="R9" s="3">
        <v>1</v>
      </c>
      <c r="S9" s="3">
        <v>0</v>
      </c>
      <c r="T9" s="3">
        <v>1</v>
      </c>
      <c r="U9" s="3">
        <v>0</v>
      </c>
      <c r="Z9" s="1" t="s">
        <v>45</v>
      </c>
      <c r="AO9" s="34">
        <v>4</v>
      </c>
      <c r="AP9" s="9">
        <v>4</v>
      </c>
      <c r="AQ9" s="1" t="s">
        <v>46</v>
      </c>
      <c r="AR9" t="str">
        <f>_xlfn.TEXTJOIN(",",TRUE,AQ7:AX7)</f>
        <v>0,1,4,3,1,3,7,1</v>
      </c>
      <c r="AS9" s="1" t="s">
        <v>47</v>
      </c>
      <c r="AU9" t="str">
        <f>_xlfn.TEXTJOIN(",",TRUE,AT8:AX8)</f>
        <v>3,1,3,7,1</v>
      </c>
    </row>
    <row r="10" spans="1:52" ht="13" customHeight="1">
      <c r="O10" s="1" t="s">
        <v>48</v>
      </c>
      <c r="V10" s="1" t="s">
        <v>49</v>
      </c>
      <c r="AO10" s="34">
        <v>3</v>
      </c>
      <c r="AP10" s="9">
        <v>3</v>
      </c>
      <c r="AQ10" t="str">
        <f>_xlfn.CONCAT(AQ9:AS9)</f>
        <v>[0,1,4,3,1,3,7,1]</v>
      </c>
    </row>
    <row r="11" spans="1:52" ht="13" customHeight="1">
      <c r="A11" s="2"/>
      <c r="B11" s="2" t="s">
        <v>50</v>
      </c>
      <c r="K11" s="2" t="s">
        <v>24</v>
      </c>
      <c r="L11" s="2" t="s">
        <v>51</v>
      </c>
      <c r="O11" s="1" t="s">
        <v>51</v>
      </c>
      <c r="R11" s="2"/>
      <c r="S11" s="2"/>
      <c r="T11" s="2"/>
      <c r="W11" s="2" t="s">
        <v>22</v>
      </c>
      <c r="X11" s="2" t="s">
        <v>52</v>
      </c>
      <c r="AA11" s="2" t="s">
        <v>52</v>
      </c>
      <c r="AI11" s="10" t="s">
        <v>35</v>
      </c>
      <c r="AJ11" s="1" t="s">
        <v>53</v>
      </c>
      <c r="AK11" s="1" t="s">
        <v>54</v>
      </c>
      <c r="AL11" s="1" t="s">
        <v>55</v>
      </c>
      <c r="AO11" s="34">
        <v>1</v>
      </c>
      <c r="AP11" s="9">
        <v>1</v>
      </c>
      <c r="AQ11" s="1" t="s">
        <v>46</v>
      </c>
      <c r="AR11" t="str">
        <f>_xlfn.TEXTJOIN(",",TRUE,AQ8:AX8)</f>
        <v>0,1,4,3,1,3,7,1</v>
      </c>
      <c r="AS11" s="1" t="s">
        <v>47</v>
      </c>
    </row>
    <row r="12" spans="1:52" ht="13" customHeight="1">
      <c r="B12">
        <f>BIN2DEC(reverse(_xlfn.CONCAT(C12:J12)))</f>
        <v>9</v>
      </c>
      <c r="C12" s="12">
        <v>1</v>
      </c>
      <c r="D12" s="12">
        <v>0</v>
      </c>
      <c r="E12" s="12">
        <v>0</v>
      </c>
      <c r="F12" s="12">
        <v>1</v>
      </c>
      <c r="G12" s="12">
        <v>0</v>
      </c>
      <c r="H12" s="1">
        <v>0</v>
      </c>
      <c r="I12" s="1">
        <v>0</v>
      </c>
      <c r="J12" s="1">
        <v>0</v>
      </c>
      <c r="O12" s="13">
        <f t="array" ref="O12:V12">TRANSPOSE(L14:L21)</f>
        <v>1</v>
      </c>
      <c r="P12" s="13">
        <v>1</v>
      </c>
      <c r="Q12" s="13">
        <v>1</v>
      </c>
      <c r="R12" s="12">
        <v>0</v>
      </c>
      <c r="S12" s="12">
        <v>1</v>
      </c>
      <c r="T12" s="13">
        <v>0</v>
      </c>
      <c r="U12" s="13">
        <v>0</v>
      </c>
      <c r="V12" s="13">
        <v>1</v>
      </c>
      <c r="X12" s="2"/>
      <c r="Y12" s="2"/>
      <c r="AA12" s="13">
        <f t="array" ref="AA12:AH12">TRANSPOSE(X14:X21)</f>
        <v>1</v>
      </c>
      <c r="AB12">
        <v>0</v>
      </c>
      <c r="AC12">
        <v>1</v>
      </c>
      <c r="AD12">
        <v>0</v>
      </c>
      <c r="AE12">
        <v>1</v>
      </c>
      <c r="AF12">
        <v>1</v>
      </c>
      <c r="AG12">
        <v>0</v>
      </c>
      <c r="AH12">
        <v>1</v>
      </c>
      <c r="AK12" s="2"/>
      <c r="AL12" s="2"/>
      <c r="AO12" s="34">
        <v>3</v>
      </c>
      <c r="AP12" s="9">
        <v>3</v>
      </c>
      <c r="AQ12" t="str">
        <f>_xlfn.CONCAT(AQ11:AS11)</f>
        <v>[0,1,4,3,1,3,7,1]</v>
      </c>
    </row>
    <row r="13" spans="1:52" ht="13" customHeight="1">
      <c r="A13" s="1"/>
      <c r="B13" s="1" t="s">
        <v>25</v>
      </c>
      <c r="N13" s="1" t="s">
        <v>23</v>
      </c>
      <c r="Z13" s="1" t="s">
        <v>36</v>
      </c>
      <c r="AO13" s="34">
        <v>7</v>
      </c>
      <c r="AP13" s="9">
        <v>7</v>
      </c>
      <c r="AQ13" s="1" t="s">
        <v>60</v>
      </c>
      <c r="AR13" t="str">
        <f>AQ10</f>
        <v>[0,1,4,3,1,3,7,1]</v>
      </c>
      <c r="AS13" s="1" t="s">
        <v>62</v>
      </c>
      <c r="AT13" t="str">
        <f>AQ12</f>
        <v>[0,1,4,3,1,3,7,1]</v>
      </c>
      <c r="AU13" s="1" t="s">
        <v>63</v>
      </c>
    </row>
    <row r="14" spans="1:52" ht="13" customHeight="1">
      <c r="B14">
        <f t="shared" ref="B14:B21" si="2">BIN2DEC(reverse(_xlfn.CONCAT(C14:J14)))</f>
        <v>194</v>
      </c>
      <c r="C14" s="1">
        <v>0</v>
      </c>
      <c r="D14" s="1">
        <v>1</v>
      </c>
      <c r="E14" s="1">
        <v>0</v>
      </c>
      <c r="F14" s="1">
        <v>0</v>
      </c>
      <c r="G14" s="1">
        <v>0</v>
      </c>
      <c r="H14" s="1">
        <v>0</v>
      </c>
      <c r="I14" s="1">
        <v>1</v>
      </c>
      <c r="J14" s="1">
        <v>1</v>
      </c>
      <c r="K14" s="1">
        <v>3</v>
      </c>
      <c r="L14">
        <f t="shared" ref="L14:L21" si="3">IF(K24&gt;=K14, 1, 0)</f>
        <v>1</v>
      </c>
      <c r="M14" s="1" t="s">
        <v>48</v>
      </c>
      <c r="N14">
        <f t="shared" ref="N14:N21" si="4">BIN2DEC(reverse(_xlfn.CONCAT(O14:V14)))</f>
        <v>209</v>
      </c>
      <c r="O14" s="1">
        <v>1</v>
      </c>
      <c r="P14" s="1">
        <v>0</v>
      </c>
      <c r="Q14" s="1">
        <v>0</v>
      </c>
      <c r="R14" s="15">
        <v>0</v>
      </c>
      <c r="S14">
        <v>1</v>
      </c>
      <c r="T14" s="1">
        <v>0</v>
      </c>
      <c r="U14" s="1">
        <v>1</v>
      </c>
      <c r="V14">
        <v>1</v>
      </c>
      <c r="W14" s="1">
        <v>3</v>
      </c>
      <c r="X14">
        <f t="shared" ref="X14:X21" si="5">IF(W24&gt;=W14, 1, 0)</f>
        <v>1</v>
      </c>
      <c r="Z14">
        <f t="shared" ref="Z14:Z21" si="6">BIN2DEC(reverse(_xlfn.CONCAT(AA14:AH14)))</f>
        <v>81</v>
      </c>
      <c r="AA14" s="1">
        <v>1</v>
      </c>
      <c r="AB14" s="1">
        <v>0</v>
      </c>
      <c r="AC14" s="1">
        <v>0</v>
      </c>
      <c r="AD14" s="15">
        <v>0</v>
      </c>
      <c r="AE14">
        <v>1</v>
      </c>
      <c r="AF14" s="1">
        <v>0</v>
      </c>
      <c r="AG14" s="1">
        <v>1</v>
      </c>
      <c r="AH14">
        <v>0</v>
      </c>
      <c r="AI14" s="1">
        <v>0</v>
      </c>
      <c r="AJ14">
        <f t="shared" ref="AJ14:AJ21" si="7">IF(AI24&gt;=AI14, 1, 0)</f>
        <v>1</v>
      </c>
      <c r="AK14" s="1">
        <v>1</v>
      </c>
      <c r="AL14">
        <f t="shared" ref="AL14:AL21" si="8">IF(_xlfn.XOR(AJ14,AK14),1,0)</f>
        <v>0</v>
      </c>
      <c r="AO14" s="34">
        <v>1</v>
      </c>
      <c r="AP14" s="9">
        <v>1</v>
      </c>
      <c r="AQ14" t="str">
        <f>_xlfn.TEXTJOIN("",TRUE,AQ13:AU13)</f>
        <v>([0,1,4,3,1,3,7,1],[0,1,4,3,1,3,7,1])</v>
      </c>
    </row>
    <row r="15" spans="1:52" ht="13" customHeight="1">
      <c r="B15">
        <f t="shared" si="2"/>
        <v>170</v>
      </c>
      <c r="C15" s="1">
        <v>0</v>
      </c>
      <c r="D15" s="1">
        <v>1</v>
      </c>
      <c r="E15" s="1">
        <v>0</v>
      </c>
      <c r="F15" s="1">
        <v>1</v>
      </c>
      <c r="G15" s="1">
        <v>0</v>
      </c>
      <c r="H15" s="1">
        <v>1</v>
      </c>
      <c r="I15" s="1">
        <v>0</v>
      </c>
      <c r="J15" s="1">
        <v>1</v>
      </c>
      <c r="K15" s="1">
        <v>3</v>
      </c>
      <c r="L15">
        <f t="shared" si="3"/>
        <v>1</v>
      </c>
      <c r="N15">
        <f t="shared" si="4"/>
        <v>194</v>
      </c>
      <c r="O15" s="1">
        <v>0</v>
      </c>
      <c r="P15" s="1">
        <v>1</v>
      </c>
      <c r="Q15" s="1">
        <v>0</v>
      </c>
      <c r="R15" s="15">
        <v>0</v>
      </c>
      <c r="S15" s="1">
        <v>0</v>
      </c>
      <c r="T15" s="1">
        <v>0</v>
      </c>
      <c r="U15" s="1">
        <v>1</v>
      </c>
      <c r="V15">
        <v>1</v>
      </c>
      <c r="W15" s="1">
        <v>6</v>
      </c>
      <c r="X15">
        <f t="shared" si="5"/>
        <v>0</v>
      </c>
      <c r="Z15">
        <f t="shared" si="6"/>
        <v>104</v>
      </c>
      <c r="AA15" s="1">
        <v>0</v>
      </c>
      <c r="AB15" s="1">
        <v>0</v>
      </c>
      <c r="AC15" s="1">
        <v>0</v>
      </c>
      <c r="AD15" s="4">
        <v>1</v>
      </c>
      <c r="AE15" s="1">
        <v>0</v>
      </c>
      <c r="AF15" s="1">
        <v>1</v>
      </c>
      <c r="AG15" s="1">
        <v>1</v>
      </c>
      <c r="AH15">
        <v>0</v>
      </c>
      <c r="AI15" s="1">
        <v>1</v>
      </c>
      <c r="AJ15">
        <f t="shared" si="7"/>
        <v>1</v>
      </c>
      <c r="AK15" s="1">
        <v>0</v>
      </c>
      <c r="AL15">
        <f t="shared" si="8"/>
        <v>1</v>
      </c>
      <c r="AZ15" s="1"/>
    </row>
    <row r="16" spans="1:52" ht="13" customHeight="1">
      <c r="B16">
        <f t="shared" si="2"/>
        <v>244</v>
      </c>
      <c r="C16" s="1">
        <v>0</v>
      </c>
      <c r="D16" s="1">
        <v>0</v>
      </c>
      <c r="E16" s="1">
        <v>1</v>
      </c>
      <c r="F16" s="1">
        <v>0</v>
      </c>
      <c r="G16" s="1">
        <v>1</v>
      </c>
      <c r="H16" s="1">
        <v>1</v>
      </c>
      <c r="I16" s="1">
        <v>1</v>
      </c>
      <c r="J16" s="1">
        <v>1</v>
      </c>
      <c r="K16" s="1">
        <v>4</v>
      </c>
      <c r="L16">
        <f t="shared" si="3"/>
        <v>1</v>
      </c>
      <c r="N16">
        <f t="shared" si="4"/>
        <v>206</v>
      </c>
      <c r="O16" s="1">
        <v>0</v>
      </c>
      <c r="P16" s="1">
        <v>1</v>
      </c>
      <c r="Q16" s="1">
        <v>1</v>
      </c>
      <c r="R16" s="15">
        <v>1</v>
      </c>
      <c r="S16" s="1">
        <v>0</v>
      </c>
      <c r="T16" s="1">
        <v>0</v>
      </c>
      <c r="U16" s="1">
        <v>1</v>
      </c>
      <c r="V16">
        <v>1</v>
      </c>
      <c r="W16" s="1">
        <v>4</v>
      </c>
      <c r="X16">
        <f t="shared" si="5"/>
        <v>1</v>
      </c>
      <c r="Z16">
        <f t="shared" si="6"/>
        <v>238</v>
      </c>
      <c r="AA16" s="1">
        <v>0</v>
      </c>
      <c r="AB16" s="1">
        <v>1</v>
      </c>
      <c r="AC16" s="1">
        <v>1</v>
      </c>
      <c r="AD16" s="15">
        <v>1</v>
      </c>
      <c r="AE16" s="1">
        <v>0</v>
      </c>
      <c r="AF16" s="1">
        <v>1</v>
      </c>
      <c r="AG16" s="1">
        <v>1</v>
      </c>
      <c r="AH16">
        <v>1</v>
      </c>
      <c r="AI16" s="1">
        <v>4</v>
      </c>
      <c r="AJ16">
        <f t="shared" si="7"/>
        <v>1</v>
      </c>
      <c r="AK16" s="1">
        <v>0</v>
      </c>
      <c r="AL16">
        <f t="shared" si="8"/>
        <v>1</v>
      </c>
      <c r="AO16" s="1" t="s">
        <v>69</v>
      </c>
      <c r="AP16" s="1">
        <v>1</v>
      </c>
      <c r="AQ16" s="1">
        <v>2</v>
      </c>
      <c r="AR16" s="1">
        <v>3</v>
      </c>
      <c r="AS16" s="1">
        <v>4</v>
      </c>
      <c r="AT16" s="1">
        <v>5</v>
      </c>
    </row>
    <row r="17" spans="1:47" ht="13" customHeight="1">
      <c r="B17">
        <f t="shared" si="2"/>
        <v>58</v>
      </c>
      <c r="C17" s="1">
        <v>0</v>
      </c>
      <c r="D17" s="1">
        <v>1</v>
      </c>
      <c r="E17" s="1">
        <v>0</v>
      </c>
      <c r="F17" s="1">
        <v>1</v>
      </c>
      <c r="G17" s="1">
        <v>1</v>
      </c>
      <c r="H17" s="1">
        <v>1</v>
      </c>
      <c r="I17" s="1">
        <v>0</v>
      </c>
      <c r="J17" s="1">
        <v>0</v>
      </c>
      <c r="K17" s="1">
        <v>5</v>
      </c>
      <c r="L17">
        <f t="shared" si="3"/>
        <v>0</v>
      </c>
      <c r="N17">
        <f t="shared" si="4"/>
        <v>154</v>
      </c>
      <c r="O17" s="1">
        <v>0</v>
      </c>
      <c r="P17" s="1">
        <v>1</v>
      </c>
      <c r="Q17" s="1">
        <v>0</v>
      </c>
      <c r="R17" s="15">
        <v>1</v>
      </c>
      <c r="S17" s="1">
        <v>1</v>
      </c>
      <c r="T17" s="1">
        <v>0</v>
      </c>
      <c r="U17" s="1">
        <v>0</v>
      </c>
      <c r="V17">
        <v>1</v>
      </c>
      <c r="W17" s="1">
        <v>5</v>
      </c>
      <c r="X17">
        <f t="shared" si="5"/>
        <v>0</v>
      </c>
      <c r="Z17">
        <f t="shared" si="6"/>
        <v>82</v>
      </c>
      <c r="AA17" s="1">
        <v>0</v>
      </c>
      <c r="AB17" s="1">
        <v>1</v>
      </c>
      <c r="AC17" s="1">
        <v>0</v>
      </c>
      <c r="AD17" s="4">
        <v>0</v>
      </c>
      <c r="AE17" s="1">
        <v>1</v>
      </c>
      <c r="AF17" s="1">
        <v>0</v>
      </c>
      <c r="AG17" s="1">
        <v>1</v>
      </c>
      <c r="AH17">
        <v>0</v>
      </c>
      <c r="AI17" s="1">
        <v>3</v>
      </c>
      <c r="AJ17">
        <f t="shared" si="7"/>
        <v>1</v>
      </c>
      <c r="AK17" s="1">
        <v>0</v>
      </c>
      <c r="AL17">
        <f t="shared" si="8"/>
        <v>1</v>
      </c>
      <c r="AO17" s="1">
        <v>1</v>
      </c>
      <c r="AP17" s="1" t="s">
        <v>71</v>
      </c>
    </row>
    <row r="18" spans="1:47" ht="13" customHeight="1">
      <c r="B18">
        <f t="shared" si="2"/>
        <v>24</v>
      </c>
      <c r="C18" s="1">
        <v>0</v>
      </c>
      <c r="D18" s="1">
        <v>0</v>
      </c>
      <c r="E18" s="1">
        <v>0</v>
      </c>
      <c r="F18" s="1">
        <v>1</v>
      </c>
      <c r="G18" s="1">
        <v>1</v>
      </c>
      <c r="H18" s="1">
        <v>0</v>
      </c>
      <c r="I18" s="1">
        <v>0</v>
      </c>
      <c r="J18" s="1">
        <v>0</v>
      </c>
      <c r="K18" s="1">
        <v>1</v>
      </c>
      <c r="L18">
        <f t="shared" si="3"/>
        <v>1</v>
      </c>
      <c r="N18">
        <f t="shared" si="4"/>
        <v>59</v>
      </c>
      <c r="O18" s="1">
        <v>1</v>
      </c>
      <c r="P18" s="1">
        <v>1</v>
      </c>
      <c r="Q18" s="1">
        <v>0</v>
      </c>
      <c r="R18" s="15">
        <v>1</v>
      </c>
      <c r="S18" s="1">
        <v>1</v>
      </c>
      <c r="T18" s="1">
        <v>1</v>
      </c>
      <c r="U18" s="1">
        <v>0</v>
      </c>
      <c r="V18" s="1">
        <v>0</v>
      </c>
      <c r="W18" s="1">
        <v>1</v>
      </c>
      <c r="X18">
        <f t="shared" si="5"/>
        <v>1</v>
      </c>
      <c r="Z18">
        <f t="shared" si="6"/>
        <v>57</v>
      </c>
      <c r="AA18" s="1">
        <v>1</v>
      </c>
      <c r="AB18" s="1">
        <v>0</v>
      </c>
      <c r="AC18" s="1">
        <v>0</v>
      </c>
      <c r="AD18" s="15">
        <v>1</v>
      </c>
      <c r="AE18" s="1">
        <v>1</v>
      </c>
      <c r="AF18" s="1">
        <v>1</v>
      </c>
      <c r="AG18" s="1">
        <v>0</v>
      </c>
      <c r="AH18" s="1">
        <v>0</v>
      </c>
      <c r="AI18" s="1">
        <v>1</v>
      </c>
      <c r="AJ18">
        <f t="shared" si="7"/>
        <v>1</v>
      </c>
      <c r="AK18" s="1">
        <v>1</v>
      </c>
      <c r="AL18">
        <f t="shared" si="8"/>
        <v>0</v>
      </c>
      <c r="AO18" s="1">
        <v>2</v>
      </c>
    </row>
    <row r="19" spans="1:47" ht="13" customHeight="1">
      <c r="B19">
        <f t="shared" si="2"/>
        <v>152</v>
      </c>
      <c r="C19" s="1">
        <v>0</v>
      </c>
      <c r="D19" s="1">
        <v>0</v>
      </c>
      <c r="E19" s="1">
        <v>0</v>
      </c>
      <c r="F19" s="1">
        <v>1</v>
      </c>
      <c r="G19" s="1">
        <v>1</v>
      </c>
      <c r="H19" s="1">
        <v>0</v>
      </c>
      <c r="I19" s="1">
        <v>0</v>
      </c>
      <c r="J19" s="1">
        <v>1</v>
      </c>
      <c r="K19" s="1">
        <v>4</v>
      </c>
      <c r="L19">
        <f t="shared" si="3"/>
        <v>0</v>
      </c>
      <c r="N19">
        <f t="shared" si="4"/>
        <v>102</v>
      </c>
      <c r="O19" s="1">
        <v>0</v>
      </c>
      <c r="P19" s="1">
        <v>1</v>
      </c>
      <c r="Q19" s="1">
        <v>1</v>
      </c>
      <c r="R19" s="1">
        <v>0</v>
      </c>
      <c r="S19" s="1">
        <v>0</v>
      </c>
      <c r="T19" s="1">
        <v>1</v>
      </c>
      <c r="U19" s="1">
        <v>1</v>
      </c>
      <c r="V19" s="1">
        <v>0</v>
      </c>
      <c r="W19" s="1">
        <v>0</v>
      </c>
      <c r="X19">
        <f t="shared" si="5"/>
        <v>1</v>
      </c>
      <c r="Z19">
        <f t="shared" si="6"/>
        <v>170</v>
      </c>
      <c r="AA19" s="1">
        <v>0</v>
      </c>
      <c r="AB19" s="1">
        <v>1</v>
      </c>
      <c r="AC19" s="1">
        <v>0</v>
      </c>
      <c r="AD19" s="1">
        <v>1</v>
      </c>
      <c r="AE19" s="1">
        <v>0</v>
      </c>
      <c r="AF19" s="1">
        <v>1</v>
      </c>
      <c r="AG19" s="1">
        <v>0</v>
      </c>
      <c r="AH19" s="1">
        <v>1</v>
      </c>
      <c r="AI19" s="1">
        <v>3</v>
      </c>
      <c r="AJ19">
        <f t="shared" si="7"/>
        <v>1</v>
      </c>
      <c r="AK19" s="1">
        <v>0</v>
      </c>
      <c r="AL19">
        <f t="shared" si="8"/>
        <v>1</v>
      </c>
      <c r="AO19" s="1">
        <v>3</v>
      </c>
    </row>
    <row r="20" spans="1:47" ht="13" customHeight="1">
      <c r="B20">
        <f t="shared" si="2"/>
        <v>15</v>
      </c>
      <c r="C20" s="1">
        <v>1</v>
      </c>
      <c r="D20" s="1">
        <v>1</v>
      </c>
      <c r="E20" s="1">
        <v>1</v>
      </c>
      <c r="F20" s="1">
        <v>1</v>
      </c>
      <c r="G20" s="1">
        <v>0</v>
      </c>
      <c r="H20" s="1">
        <v>0</v>
      </c>
      <c r="I20" s="1">
        <v>0</v>
      </c>
      <c r="J20" s="1">
        <v>0</v>
      </c>
      <c r="K20" s="1">
        <v>5</v>
      </c>
      <c r="L20">
        <f t="shared" si="3"/>
        <v>0</v>
      </c>
      <c r="N20">
        <f t="shared" si="4"/>
        <v>102</v>
      </c>
      <c r="O20" s="1">
        <v>0</v>
      </c>
      <c r="P20" s="1">
        <v>1</v>
      </c>
      <c r="Q20" s="1">
        <v>1</v>
      </c>
      <c r="R20" s="1">
        <v>0</v>
      </c>
      <c r="S20" s="1">
        <v>0</v>
      </c>
      <c r="T20" s="1">
        <v>1</v>
      </c>
      <c r="U20" s="1">
        <v>1</v>
      </c>
      <c r="V20" s="1">
        <v>0</v>
      </c>
      <c r="W20" s="1">
        <v>7</v>
      </c>
      <c r="X20">
        <f t="shared" si="5"/>
        <v>0</v>
      </c>
      <c r="Z20">
        <f t="shared" si="6"/>
        <v>102</v>
      </c>
      <c r="AA20" s="1">
        <v>0</v>
      </c>
      <c r="AB20" s="1">
        <v>1</v>
      </c>
      <c r="AC20" s="1">
        <v>1</v>
      </c>
      <c r="AD20" s="1">
        <v>0</v>
      </c>
      <c r="AE20" s="1">
        <v>0</v>
      </c>
      <c r="AF20" s="1">
        <v>1</v>
      </c>
      <c r="AG20" s="1">
        <v>1</v>
      </c>
      <c r="AH20" s="1">
        <v>0</v>
      </c>
      <c r="AI20" s="1">
        <v>7</v>
      </c>
      <c r="AJ20">
        <f t="shared" si="7"/>
        <v>0</v>
      </c>
      <c r="AK20" s="1">
        <v>1</v>
      </c>
      <c r="AL20">
        <f t="shared" si="8"/>
        <v>1</v>
      </c>
      <c r="AO20" s="1">
        <v>4</v>
      </c>
    </row>
    <row r="21" spans="1:47" ht="13" customHeight="1">
      <c r="B21">
        <f t="shared" si="2"/>
        <v>163</v>
      </c>
      <c r="C21" s="1">
        <v>1</v>
      </c>
      <c r="D21" s="1">
        <v>1</v>
      </c>
      <c r="E21" s="1">
        <v>0</v>
      </c>
      <c r="F21" s="1">
        <v>0</v>
      </c>
      <c r="G21" s="1">
        <v>0</v>
      </c>
      <c r="H21" s="1">
        <v>1</v>
      </c>
      <c r="I21" s="1">
        <v>0</v>
      </c>
      <c r="J21" s="1">
        <v>1</v>
      </c>
      <c r="K21" s="1">
        <v>1</v>
      </c>
      <c r="L21">
        <f t="shared" si="3"/>
        <v>1</v>
      </c>
      <c r="M21" s="1" t="s">
        <v>49</v>
      </c>
      <c r="N21">
        <f t="shared" si="4"/>
        <v>7</v>
      </c>
      <c r="O21" s="1">
        <v>1</v>
      </c>
      <c r="P21" s="1">
        <v>1</v>
      </c>
      <c r="Q21" s="1">
        <v>1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1</v>
      </c>
      <c r="X21">
        <f t="shared" si="5"/>
        <v>1</v>
      </c>
      <c r="Z21">
        <f t="shared" si="6"/>
        <v>37</v>
      </c>
      <c r="AA21" s="1">
        <v>1</v>
      </c>
      <c r="AB21" s="1">
        <v>0</v>
      </c>
      <c r="AC21" s="1">
        <v>1</v>
      </c>
      <c r="AD21" s="1">
        <v>0</v>
      </c>
      <c r="AE21" s="1">
        <v>0</v>
      </c>
      <c r="AF21" s="1">
        <v>1</v>
      </c>
      <c r="AG21" s="1">
        <v>0</v>
      </c>
      <c r="AH21" s="1">
        <v>0</v>
      </c>
      <c r="AI21" s="1">
        <v>1</v>
      </c>
      <c r="AJ21">
        <f t="shared" si="7"/>
        <v>1</v>
      </c>
      <c r="AK21" s="1">
        <v>0</v>
      </c>
      <c r="AL21">
        <f t="shared" si="8"/>
        <v>1</v>
      </c>
      <c r="AO21" s="1">
        <v>5</v>
      </c>
    </row>
    <row r="22" spans="1:47" ht="13" customHeight="1">
      <c r="L22">
        <f>BIN2DEC(reverse(_xlfn.CONCAT(L14:L21)))</f>
        <v>151</v>
      </c>
      <c r="X22">
        <f>BIN2DEC(reverse(_xlfn.CONCAT(X14:X21)))</f>
        <v>181</v>
      </c>
      <c r="AJ22">
        <f>BIN2DEC(reverse(_xlfn.CONCAT(AJ14:AJ21)))</f>
        <v>191</v>
      </c>
      <c r="AK22">
        <f>BIN2DEC(reverse(_xlfn.CONCAT(AK14:AK21)))</f>
        <v>81</v>
      </c>
      <c r="AL22">
        <f>BIN2DEC(reverse(_xlfn.CONCAT(AL14:AL21)))</f>
        <v>238</v>
      </c>
    </row>
    <row r="23" spans="1:47" ht="13" customHeight="1">
      <c r="A23" s="1"/>
      <c r="B23" s="1" t="s">
        <v>185</v>
      </c>
      <c r="N23" s="1" t="s">
        <v>186</v>
      </c>
      <c r="Z23" s="1" t="s">
        <v>187</v>
      </c>
    </row>
    <row r="24" spans="1:47" ht="13" customHeight="1">
      <c r="B24">
        <f t="shared" ref="B24:B31" si="9">BIN2DEC(reverse(_xlfn.CONCAT(C24:J24)))</f>
        <v>203</v>
      </c>
      <c r="C24">
        <f t="shared" ref="C24:J31" si="10">IF(_xlfn.XOR(C$12,C14), 1, 0)</f>
        <v>1</v>
      </c>
      <c r="D24">
        <f t="shared" si="10"/>
        <v>1</v>
      </c>
      <c r="E24">
        <f t="shared" si="10"/>
        <v>0</v>
      </c>
      <c r="F24">
        <f t="shared" si="10"/>
        <v>1</v>
      </c>
      <c r="G24">
        <f t="shared" si="10"/>
        <v>0</v>
      </c>
      <c r="H24">
        <f t="shared" si="10"/>
        <v>0</v>
      </c>
      <c r="I24">
        <f t="shared" si="10"/>
        <v>1</v>
      </c>
      <c r="J24">
        <f t="shared" si="10"/>
        <v>1</v>
      </c>
      <c r="K24">
        <f t="shared" ref="K24:K31" si="11">COUNTIF(C24:J24,1)</f>
        <v>5</v>
      </c>
      <c r="N24">
        <f t="shared" ref="N24:N31" si="12">BIN2DEC(reverse(_xlfn.CONCAT(O24:V24)))</f>
        <v>70</v>
      </c>
      <c r="O24">
        <f t="shared" ref="O24:V31" si="13">IF(_xlfn.XOR(O$12,O14), 1, 0)</f>
        <v>0</v>
      </c>
      <c r="P24">
        <f t="shared" si="13"/>
        <v>1</v>
      </c>
      <c r="Q24">
        <f t="shared" si="13"/>
        <v>1</v>
      </c>
      <c r="R24">
        <f t="shared" si="13"/>
        <v>0</v>
      </c>
      <c r="S24">
        <f t="shared" si="13"/>
        <v>0</v>
      </c>
      <c r="T24">
        <f t="shared" si="13"/>
        <v>0</v>
      </c>
      <c r="U24">
        <f t="shared" si="13"/>
        <v>1</v>
      </c>
      <c r="V24">
        <f t="shared" si="13"/>
        <v>0</v>
      </c>
      <c r="W24">
        <f t="shared" ref="W24:W31" si="14">COUNTIF(O24:V24,1)</f>
        <v>3</v>
      </c>
      <c r="Z24">
        <f t="shared" ref="Z24:Z31" si="15">BIN2DEC(reverse(_xlfn.CONCAT(AA24:AH24)))</f>
        <v>228</v>
      </c>
      <c r="AA24">
        <f t="shared" ref="AA24:AH31" si="16">IF(_xlfn.XOR(AA$12,AA14), 1, 0)</f>
        <v>0</v>
      </c>
      <c r="AB24">
        <f t="shared" si="16"/>
        <v>0</v>
      </c>
      <c r="AC24">
        <f t="shared" si="16"/>
        <v>1</v>
      </c>
      <c r="AD24">
        <f t="shared" si="16"/>
        <v>0</v>
      </c>
      <c r="AE24">
        <f t="shared" si="16"/>
        <v>0</v>
      </c>
      <c r="AF24">
        <f t="shared" si="16"/>
        <v>1</v>
      </c>
      <c r="AG24">
        <f t="shared" si="16"/>
        <v>1</v>
      </c>
      <c r="AH24">
        <f t="shared" si="16"/>
        <v>1</v>
      </c>
      <c r="AI24">
        <f t="shared" ref="AI24:AI31" si="17">COUNTIF(AA24:AH24,1)</f>
        <v>4</v>
      </c>
    </row>
    <row r="25" spans="1:47" ht="13" customHeight="1">
      <c r="B25">
        <f t="shared" si="9"/>
        <v>163</v>
      </c>
      <c r="C25">
        <f t="shared" si="10"/>
        <v>1</v>
      </c>
      <c r="D25">
        <f t="shared" si="10"/>
        <v>1</v>
      </c>
      <c r="E25">
        <f t="shared" si="10"/>
        <v>0</v>
      </c>
      <c r="F25">
        <f t="shared" si="10"/>
        <v>0</v>
      </c>
      <c r="G25">
        <f t="shared" si="10"/>
        <v>0</v>
      </c>
      <c r="H25">
        <f t="shared" si="10"/>
        <v>1</v>
      </c>
      <c r="I25">
        <f t="shared" si="10"/>
        <v>0</v>
      </c>
      <c r="J25">
        <f t="shared" si="10"/>
        <v>1</v>
      </c>
      <c r="K25">
        <f t="shared" si="11"/>
        <v>4</v>
      </c>
      <c r="N25">
        <f t="shared" si="12"/>
        <v>85</v>
      </c>
      <c r="O25">
        <f t="shared" si="13"/>
        <v>1</v>
      </c>
      <c r="P25">
        <f t="shared" si="13"/>
        <v>0</v>
      </c>
      <c r="Q25">
        <f t="shared" si="13"/>
        <v>1</v>
      </c>
      <c r="R25">
        <f t="shared" si="13"/>
        <v>0</v>
      </c>
      <c r="S25">
        <f t="shared" si="13"/>
        <v>1</v>
      </c>
      <c r="T25">
        <f t="shared" si="13"/>
        <v>0</v>
      </c>
      <c r="U25">
        <f t="shared" si="13"/>
        <v>1</v>
      </c>
      <c r="V25">
        <f t="shared" si="13"/>
        <v>0</v>
      </c>
      <c r="W25">
        <f t="shared" si="14"/>
        <v>4</v>
      </c>
      <c r="Z25">
        <f t="shared" si="15"/>
        <v>221</v>
      </c>
      <c r="AA25">
        <f t="shared" si="16"/>
        <v>1</v>
      </c>
      <c r="AB25">
        <f t="shared" si="16"/>
        <v>0</v>
      </c>
      <c r="AC25">
        <f t="shared" si="16"/>
        <v>1</v>
      </c>
      <c r="AD25">
        <f t="shared" si="16"/>
        <v>1</v>
      </c>
      <c r="AE25">
        <f t="shared" si="16"/>
        <v>1</v>
      </c>
      <c r="AF25">
        <f t="shared" si="16"/>
        <v>0</v>
      </c>
      <c r="AG25">
        <f t="shared" si="16"/>
        <v>1</v>
      </c>
      <c r="AH25">
        <f t="shared" si="16"/>
        <v>1</v>
      </c>
      <c r="AI25">
        <f t="shared" si="17"/>
        <v>6</v>
      </c>
    </row>
    <row r="26" spans="1:47" ht="13" customHeight="1">
      <c r="B26">
        <f t="shared" si="9"/>
        <v>253</v>
      </c>
      <c r="C26">
        <f t="shared" si="10"/>
        <v>1</v>
      </c>
      <c r="D26">
        <f t="shared" si="10"/>
        <v>0</v>
      </c>
      <c r="E26">
        <f t="shared" si="10"/>
        <v>1</v>
      </c>
      <c r="F26">
        <f t="shared" si="10"/>
        <v>1</v>
      </c>
      <c r="G26">
        <f t="shared" si="10"/>
        <v>1</v>
      </c>
      <c r="H26">
        <f t="shared" si="10"/>
        <v>1</v>
      </c>
      <c r="I26">
        <f t="shared" si="10"/>
        <v>1</v>
      </c>
      <c r="J26">
        <f t="shared" si="10"/>
        <v>1</v>
      </c>
      <c r="K26">
        <f t="shared" si="11"/>
        <v>7</v>
      </c>
      <c r="N26">
        <f t="shared" si="12"/>
        <v>89</v>
      </c>
      <c r="O26">
        <f t="shared" si="13"/>
        <v>1</v>
      </c>
      <c r="P26">
        <f t="shared" si="13"/>
        <v>0</v>
      </c>
      <c r="Q26">
        <f t="shared" si="13"/>
        <v>0</v>
      </c>
      <c r="R26">
        <f t="shared" si="13"/>
        <v>1</v>
      </c>
      <c r="S26">
        <f t="shared" si="13"/>
        <v>1</v>
      </c>
      <c r="T26">
        <f t="shared" si="13"/>
        <v>0</v>
      </c>
      <c r="U26">
        <f t="shared" si="13"/>
        <v>1</v>
      </c>
      <c r="V26">
        <f t="shared" si="13"/>
        <v>0</v>
      </c>
      <c r="W26">
        <f t="shared" si="14"/>
        <v>4</v>
      </c>
      <c r="Z26">
        <f t="shared" si="15"/>
        <v>91</v>
      </c>
      <c r="AA26">
        <f t="shared" si="16"/>
        <v>1</v>
      </c>
      <c r="AB26">
        <f t="shared" si="16"/>
        <v>1</v>
      </c>
      <c r="AC26">
        <f t="shared" si="16"/>
        <v>0</v>
      </c>
      <c r="AD26">
        <f t="shared" si="16"/>
        <v>1</v>
      </c>
      <c r="AE26">
        <f t="shared" si="16"/>
        <v>1</v>
      </c>
      <c r="AF26">
        <f t="shared" si="16"/>
        <v>0</v>
      </c>
      <c r="AG26">
        <f t="shared" si="16"/>
        <v>1</v>
      </c>
      <c r="AH26">
        <f t="shared" si="16"/>
        <v>0</v>
      </c>
      <c r="AI26">
        <f t="shared" si="17"/>
        <v>5</v>
      </c>
    </row>
    <row r="27" spans="1:47" ht="13" customHeight="1">
      <c r="B27">
        <f t="shared" si="9"/>
        <v>51</v>
      </c>
      <c r="C27">
        <f t="shared" si="10"/>
        <v>1</v>
      </c>
      <c r="D27">
        <f t="shared" si="10"/>
        <v>1</v>
      </c>
      <c r="E27">
        <f t="shared" si="10"/>
        <v>0</v>
      </c>
      <c r="F27">
        <f t="shared" si="10"/>
        <v>0</v>
      </c>
      <c r="G27">
        <f t="shared" si="10"/>
        <v>1</v>
      </c>
      <c r="H27">
        <f t="shared" si="10"/>
        <v>1</v>
      </c>
      <c r="I27">
        <f t="shared" si="10"/>
        <v>0</v>
      </c>
      <c r="J27">
        <f t="shared" si="10"/>
        <v>0</v>
      </c>
      <c r="K27">
        <f t="shared" si="11"/>
        <v>4</v>
      </c>
      <c r="N27">
        <f t="shared" si="12"/>
        <v>13</v>
      </c>
      <c r="O27">
        <f t="shared" si="13"/>
        <v>1</v>
      </c>
      <c r="P27">
        <f t="shared" si="13"/>
        <v>0</v>
      </c>
      <c r="Q27">
        <f t="shared" si="13"/>
        <v>1</v>
      </c>
      <c r="R27">
        <f t="shared" si="13"/>
        <v>1</v>
      </c>
      <c r="S27">
        <f t="shared" si="13"/>
        <v>0</v>
      </c>
      <c r="T27">
        <f t="shared" si="13"/>
        <v>0</v>
      </c>
      <c r="U27">
        <f t="shared" si="13"/>
        <v>0</v>
      </c>
      <c r="V27">
        <f t="shared" si="13"/>
        <v>0</v>
      </c>
      <c r="W27">
        <f t="shared" si="14"/>
        <v>3</v>
      </c>
      <c r="Z27">
        <f t="shared" si="15"/>
        <v>231</v>
      </c>
      <c r="AA27">
        <f t="shared" si="16"/>
        <v>1</v>
      </c>
      <c r="AB27">
        <f t="shared" si="16"/>
        <v>1</v>
      </c>
      <c r="AC27">
        <f t="shared" si="16"/>
        <v>1</v>
      </c>
      <c r="AD27">
        <f t="shared" si="16"/>
        <v>0</v>
      </c>
      <c r="AE27">
        <f t="shared" si="16"/>
        <v>0</v>
      </c>
      <c r="AF27">
        <f t="shared" si="16"/>
        <v>1</v>
      </c>
      <c r="AG27">
        <f t="shared" si="16"/>
        <v>1</v>
      </c>
      <c r="AH27">
        <f t="shared" si="16"/>
        <v>1</v>
      </c>
      <c r="AI27">
        <f t="shared" si="17"/>
        <v>6</v>
      </c>
    </row>
    <row r="28" spans="1:47" ht="13" customHeight="1">
      <c r="B28">
        <f t="shared" si="9"/>
        <v>17</v>
      </c>
      <c r="C28">
        <f t="shared" si="10"/>
        <v>1</v>
      </c>
      <c r="D28">
        <f t="shared" si="10"/>
        <v>0</v>
      </c>
      <c r="E28">
        <f t="shared" si="10"/>
        <v>0</v>
      </c>
      <c r="F28">
        <f t="shared" si="10"/>
        <v>0</v>
      </c>
      <c r="G28">
        <f t="shared" si="10"/>
        <v>1</v>
      </c>
      <c r="H28">
        <f t="shared" si="10"/>
        <v>0</v>
      </c>
      <c r="I28">
        <f t="shared" si="10"/>
        <v>0</v>
      </c>
      <c r="J28">
        <f t="shared" si="10"/>
        <v>0</v>
      </c>
      <c r="K28">
        <f t="shared" si="11"/>
        <v>2</v>
      </c>
      <c r="N28">
        <f t="shared" si="12"/>
        <v>172</v>
      </c>
      <c r="O28">
        <f t="shared" si="13"/>
        <v>0</v>
      </c>
      <c r="P28">
        <f t="shared" si="13"/>
        <v>0</v>
      </c>
      <c r="Q28">
        <f t="shared" si="13"/>
        <v>1</v>
      </c>
      <c r="R28">
        <f t="shared" si="13"/>
        <v>1</v>
      </c>
      <c r="S28">
        <f t="shared" si="13"/>
        <v>0</v>
      </c>
      <c r="T28">
        <f t="shared" si="13"/>
        <v>1</v>
      </c>
      <c r="U28">
        <f t="shared" si="13"/>
        <v>0</v>
      </c>
      <c r="V28">
        <f t="shared" si="13"/>
        <v>1</v>
      </c>
      <c r="W28">
        <f t="shared" si="14"/>
        <v>4</v>
      </c>
      <c r="Z28">
        <f t="shared" si="15"/>
        <v>140</v>
      </c>
      <c r="AA28">
        <f t="shared" si="16"/>
        <v>0</v>
      </c>
      <c r="AB28">
        <f t="shared" si="16"/>
        <v>0</v>
      </c>
      <c r="AC28">
        <f t="shared" si="16"/>
        <v>1</v>
      </c>
      <c r="AD28">
        <f t="shared" si="16"/>
        <v>1</v>
      </c>
      <c r="AE28">
        <f t="shared" si="16"/>
        <v>0</v>
      </c>
      <c r="AF28">
        <f t="shared" si="16"/>
        <v>0</v>
      </c>
      <c r="AG28">
        <f t="shared" si="16"/>
        <v>0</v>
      </c>
      <c r="AH28">
        <f t="shared" si="16"/>
        <v>1</v>
      </c>
      <c r="AI28">
        <f t="shared" si="17"/>
        <v>3</v>
      </c>
    </row>
    <row r="29" spans="1:47" ht="13" customHeight="1">
      <c r="B29">
        <f t="shared" si="9"/>
        <v>145</v>
      </c>
      <c r="C29">
        <f t="shared" si="10"/>
        <v>1</v>
      </c>
      <c r="D29">
        <f t="shared" si="10"/>
        <v>0</v>
      </c>
      <c r="E29">
        <f t="shared" si="10"/>
        <v>0</v>
      </c>
      <c r="F29">
        <f t="shared" si="10"/>
        <v>0</v>
      </c>
      <c r="G29">
        <f t="shared" si="10"/>
        <v>1</v>
      </c>
      <c r="H29">
        <f t="shared" si="10"/>
        <v>0</v>
      </c>
      <c r="I29">
        <f t="shared" si="10"/>
        <v>0</v>
      </c>
      <c r="J29">
        <f t="shared" si="10"/>
        <v>1</v>
      </c>
      <c r="K29">
        <f t="shared" si="11"/>
        <v>3</v>
      </c>
      <c r="N29">
        <f t="shared" si="12"/>
        <v>241</v>
      </c>
      <c r="O29">
        <f t="shared" si="13"/>
        <v>1</v>
      </c>
      <c r="P29">
        <f t="shared" si="13"/>
        <v>0</v>
      </c>
      <c r="Q29">
        <f t="shared" si="13"/>
        <v>0</v>
      </c>
      <c r="R29">
        <f t="shared" si="13"/>
        <v>0</v>
      </c>
      <c r="S29">
        <f t="shared" si="13"/>
        <v>1</v>
      </c>
      <c r="T29">
        <f t="shared" si="13"/>
        <v>1</v>
      </c>
      <c r="U29">
        <f t="shared" si="13"/>
        <v>1</v>
      </c>
      <c r="V29">
        <f t="shared" si="13"/>
        <v>1</v>
      </c>
      <c r="W29">
        <f t="shared" si="14"/>
        <v>5</v>
      </c>
      <c r="Z29">
        <f t="shared" si="15"/>
        <v>31</v>
      </c>
      <c r="AA29">
        <f t="shared" si="16"/>
        <v>1</v>
      </c>
      <c r="AB29">
        <f t="shared" si="16"/>
        <v>1</v>
      </c>
      <c r="AC29">
        <f t="shared" si="16"/>
        <v>1</v>
      </c>
      <c r="AD29">
        <f t="shared" si="16"/>
        <v>1</v>
      </c>
      <c r="AE29">
        <f t="shared" si="16"/>
        <v>1</v>
      </c>
      <c r="AF29">
        <f t="shared" si="16"/>
        <v>0</v>
      </c>
      <c r="AG29">
        <f t="shared" si="16"/>
        <v>0</v>
      </c>
      <c r="AH29">
        <f t="shared" si="16"/>
        <v>0</v>
      </c>
      <c r="AI29">
        <f t="shared" si="17"/>
        <v>5</v>
      </c>
      <c r="AT29" s="1">
        <v>1</v>
      </c>
      <c r="AU29" t="b">
        <f t="shared" ref="AU29:AU30" si="18">NOT(AT29)</f>
        <v>0</v>
      </c>
    </row>
    <row r="30" spans="1:47" ht="13" customHeight="1">
      <c r="B30">
        <f t="shared" si="9"/>
        <v>6</v>
      </c>
      <c r="C30">
        <f t="shared" si="10"/>
        <v>0</v>
      </c>
      <c r="D30">
        <f t="shared" si="10"/>
        <v>1</v>
      </c>
      <c r="E30">
        <f t="shared" si="10"/>
        <v>1</v>
      </c>
      <c r="F30">
        <f t="shared" si="10"/>
        <v>0</v>
      </c>
      <c r="G30">
        <f t="shared" si="10"/>
        <v>0</v>
      </c>
      <c r="H30">
        <f t="shared" si="10"/>
        <v>0</v>
      </c>
      <c r="I30">
        <f t="shared" si="10"/>
        <v>0</v>
      </c>
      <c r="J30">
        <f t="shared" si="10"/>
        <v>0</v>
      </c>
      <c r="K30">
        <f t="shared" si="11"/>
        <v>2</v>
      </c>
      <c r="N30">
        <f t="shared" si="12"/>
        <v>241</v>
      </c>
      <c r="O30">
        <f t="shared" si="13"/>
        <v>1</v>
      </c>
      <c r="P30">
        <f t="shared" si="13"/>
        <v>0</v>
      </c>
      <c r="Q30">
        <f t="shared" si="13"/>
        <v>0</v>
      </c>
      <c r="R30">
        <f t="shared" si="13"/>
        <v>0</v>
      </c>
      <c r="S30">
        <f t="shared" si="13"/>
        <v>1</v>
      </c>
      <c r="T30">
        <f t="shared" si="13"/>
        <v>1</v>
      </c>
      <c r="U30">
        <f t="shared" si="13"/>
        <v>1</v>
      </c>
      <c r="V30">
        <f t="shared" si="13"/>
        <v>1</v>
      </c>
      <c r="W30">
        <f t="shared" si="14"/>
        <v>5</v>
      </c>
      <c r="Z30">
        <f t="shared" si="15"/>
        <v>211</v>
      </c>
      <c r="AA30">
        <f t="shared" si="16"/>
        <v>1</v>
      </c>
      <c r="AB30">
        <f t="shared" si="16"/>
        <v>1</v>
      </c>
      <c r="AC30">
        <f t="shared" si="16"/>
        <v>0</v>
      </c>
      <c r="AD30">
        <f t="shared" si="16"/>
        <v>0</v>
      </c>
      <c r="AE30">
        <f t="shared" si="16"/>
        <v>1</v>
      </c>
      <c r="AF30">
        <f t="shared" si="16"/>
        <v>0</v>
      </c>
      <c r="AG30">
        <f t="shared" si="16"/>
        <v>1</v>
      </c>
      <c r="AH30">
        <f t="shared" si="16"/>
        <v>1</v>
      </c>
      <c r="AI30">
        <f t="shared" si="17"/>
        <v>5</v>
      </c>
      <c r="AT30" s="1">
        <v>0</v>
      </c>
      <c r="AU30" t="b">
        <f t="shared" si="18"/>
        <v>1</v>
      </c>
    </row>
    <row r="31" spans="1:47" ht="13" customHeight="1">
      <c r="B31">
        <f t="shared" si="9"/>
        <v>170</v>
      </c>
      <c r="C31">
        <f t="shared" si="10"/>
        <v>0</v>
      </c>
      <c r="D31">
        <f t="shared" si="10"/>
        <v>1</v>
      </c>
      <c r="E31">
        <f t="shared" si="10"/>
        <v>0</v>
      </c>
      <c r="F31">
        <f t="shared" si="10"/>
        <v>1</v>
      </c>
      <c r="G31">
        <f t="shared" si="10"/>
        <v>0</v>
      </c>
      <c r="H31">
        <f t="shared" si="10"/>
        <v>1</v>
      </c>
      <c r="I31">
        <f t="shared" si="10"/>
        <v>0</v>
      </c>
      <c r="J31">
        <f t="shared" si="10"/>
        <v>1</v>
      </c>
      <c r="K31">
        <f t="shared" si="11"/>
        <v>4</v>
      </c>
      <c r="N31">
        <f t="shared" si="12"/>
        <v>144</v>
      </c>
      <c r="O31">
        <f t="shared" si="13"/>
        <v>0</v>
      </c>
      <c r="P31">
        <f t="shared" si="13"/>
        <v>0</v>
      </c>
      <c r="Q31">
        <f t="shared" si="13"/>
        <v>0</v>
      </c>
      <c r="R31">
        <f t="shared" si="13"/>
        <v>0</v>
      </c>
      <c r="S31">
        <f t="shared" si="13"/>
        <v>1</v>
      </c>
      <c r="T31">
        <f t="shared" si="13"/>
        <v>0</v>
      </c>
      <c r="U31">
        <f t="shared" si="13"/>
        <v>0</v>
      </c>
      <c r="V31">
        <f t="shared" si="13"/>
        <v>1</v>
      </c>
      <c r="W31">
        <f t="shared" si="14"/>
        <v>2</v>
      </c>
      <c r="Z31">
        <f t="shared" si="15"/>
        <v>144</v>
      </c>
      <c r="AA31">
        <f t="shared" si="16"/>
        <v>0</v>
      </c>
      <c r="AB31">
        <f t="shared" si="16"/>
        <v>0</v>
      </c>
      <c r="AC31">
        <f t="shared" si="16"/>
        <v>0</v>
      </c>
      <c r="AD31">
        <f t="shared" si="16"/>
        <v>0</v>
      </c>
      <c r="AE31">
        <f t="shared" si="16"/>
        <v>1</v>
      </c>
      <c r="AF31">
        <f t="shared" si="16"/>
        <v>0</v>
      </c>
      <c r="AG31">
        <f t="shared" si="16"/>
        <v>0</v>
      </c>
      <c r="AH31">
        <f t="shared" si="16"/>
        <v>1</v>
      </c>
      <c r="AI31">
        <f t="shared" si="17"/>
        <v>2</v>
      </c>
    </row>
    <row r="32" spans="1:47" ht="13" customHeight="1">
      <c r="Q32" s="21"/>
      <c r="R32" s="21"/>
    </row>
    <row r="33" spans="1:49" ht="13" customHeight="1">
      <c r="A33" s="1"/>
      <c r="B33" s="1" t="s">
        <v>82</v>
      </c>
      <c r="K33" s="1" t="s">
        <v>83</v>
      </c>
      <c r="L33" s="1" t="s">
        <v>84</v>
      </c>
      <c r="M33" s="1" t="s">
        <v>85</v>
      </c>
      <c r="N33" s="1" t="s">
        <v>86</v>
      </c>
      <c r="W33" s="1" t="s">
        <v>87</v>
      </c>
      <c r="X33" s="1" t="s">
        <v>88</v>
      </c>
      <c r="Y33" s="1" t="s">
        <v>89</v>
      </c>
      <c r="Z33" s="1" t="s">
        <v>90</v>
      </c>
      <c r="AI33" s="10" t="s">
        <v>91</v>
      </c>
      <c r="AJ33" s="1" t="s">
        <v>92</v>
      </c>
      <c r="AO33">
        <f t="shared" ref="AO33:AO40" si="19">BIN2DEC(reverse(_xlfn.CONCAT(AP33:AW33)))</f>
        <v>81</v>
      </c>
      <c r="AP33" s="9">
        <v>1</v>
      </c>
      <c r="AQ33" s="9">
        <v>0</v>
      </c>
      <c r="AR33" s="9">
        <v>0</v>
      </c>
      <c r="AS33">
        <v>0</v>
      </c>
      <c r="AT33">
        <v>1</v>
      </c>
      <c r="AU33" s="9">
        <v>0</v>
      </c>
      <c r="AV33" s="9">
        <f t="shared" ref="AV33:AV40" si="20">IF(IF(AG34,NOT(AG14),AG14),1,0)</f>
        <v>1</v>
      </c>
      <c r="AW33">
        <v>0</v>
      </c>
    </row>
    <row r="34" spans="1:49" ht="13" customHeight="1">
      <c r="B34">
        <f t="shared" ref="B34:B41" si="21">BIN2DEC(reverse(_xlfn.CONCAT(C34:J34)))</f>
        <v>0</v>
      </c>
      <c r="C34">
        <f t="shared" ref="C34:J41" si="22">IF(AND($M34,(_xlfn.XOR(C24,NOT($L14)))),1,0)</f>
        <v>0</v>
      </c>
      <c r="D34">
        <f t="shared" si="22"/>
        <v>0</v>
      </c>
      <c r="E34">
        <f t="shared" si="22"/>
        <v>0</v>
      </c>
      <c r="F34">
        <f t="shared" si="22"/>
        <v>0</v>
      </c>
      <c r="G34">
        <f t="shared" si="22"/>
        <v>0</v>
      </c>
      <c r="H34">
        <f t="shared" si="22"/>
        <v>0</v>
      </c>
      <c r="I34">
        <f t="shared" si="22"/>
        <v>0</v>
      </c>
      <c r="J34">
        <f t="shared" si="22"/>
        <v>0</v>
      </c>
      <c r="K34">
        <f t="shared" ref="K34:K41" si="23">K14+L34</f>
        <v>3</v>
      </c>
      <c r="L34" s="22">
        <f t="shared" ref="L34:L41" si="24">IF(L14,M34,M34*(-1))</f>
        <v>0</v>
      </c>
      <c r="M34">
        <f t="shared" ref="M34:M41" si="25">IF(N34&gt;0,1,0)</f>
        <v>0</v>
      </c>
      <c r="N34">
        <f t="shared" ref="N34:N41" si="26">BIN2DEC(reverse(_xlfn.CONCAT(O34:V34)))</f>
        <v>0</v>
      </c>
      <c r="O34">
        <f t="shared" ref="O34:V41" si="27">IF(AND($Y34,(_xlfn.XOR(O24,NOT($X14)))),1,0)</f>
        <v>0</v>
      </c>
      <c r="P34">
        <f t="shared" si="27"/>
        <v>0</v>
      </c>
      <c r="Q34">
        <f t="shared" si="27"/>
        <v>0</v>
      </c>
      <c r="R34">
        <f t="shared" si="27"/>
        <v>0</v>
      </c>
      <c r="S34">
        <f t="shared" si="27"/>
        <v>0</v>
      </c>
      <c r="T34">
        <f t="shared" si="27"/>
        <v>0</v>
      </c>
      <c r="U34">
        <f t="shared" si="27"/>
        <v>0</v>
      </c>
      <c r="V34">
        <f t="shared" si="27"/>
        <v>0</v>
      </c>
      <c r="W34">
        <f t="shared" ref="W34:W41" si="28">W14+X34</f>
        <v>3</v>
      </c>
      <c r="X34" s="22">
        <f t="shared" ref="X34:X41" si="29">IF(X14,Y34,Y34*(-1))</f>
        <v>0</v>
      </c>
      <c r="Y34">
        <f t="shared" ref="Y34:Y41" si="30">IF(Z34&gt;0,1,0)</f>
        <v>0</v>
      </c>
      <c r="Z34">
        <f t="shared" ref="Z34:Z41" si="31">BIN2DEC(reverse(_xlfn.CONCAT(AA34:AH34)))</f>
        <v>0</v>
      </c>
      <c r="AA34">
        <f t="shared" ref="AA34:AH41" si="32">IF(AND($AL14,(_xlfn.XOR(AA24,NOT($AJ14)))),1,0)</f>
        <v>0</v>
      </c>
      <c r="AB34">
        <f t="shared" si="32"/>
        <v>0</v>
      </c>
      <c r="AC34">
        <f t="shared" si="32"/>
        <v>0</v>
      </c>
      <c r="AD34">
        <f t="shared" si="32"/>
        <v>0</v>
      </c>
      <c r="AE34">
        <f t="shared" si="32"/>
        <v>0</v>
      </c>
      <c r="AF34">
        <f t="shared" si="32"/>
        <v>0</v>
      </c>
      <c r="AG34">
        <f t="shared" si="32"/>
        <v>0</v>
      </c>
      <c r="AH34">
        <f t="shared" si="32"/>
        <v>0</v>
      </c>
      <c r="AI34">
        <f t="shared" ref="AI34:AI41" si="33">AI14+AJ34</f>
        <v>0</v>
      </c>
      <c r="AJ34" s="22">
        <f t="shared" ref="AJ34:AJ41" si="34">IF(AJ14,AL14,AL14*(-1))</f>
        <v>0</v>
      </c>
      <c r="AO34">
        <f t="shared" si="19"/>
        <v>40</v>
      </c>
      <c r="AP34" s="9">
        <v>0</v>
      </c>
      <c r="AQ34" s="9">
        <v>0</v>
      </c>
      <c r="AR34" s="9">
        <v>0</v>
      </c>
      <c r="AS34" s="9">
        <v>1</v>
      </c>
      <c r="AT34" s="9">
        <v>0</v>
      </c>
      <c r="AU34" s="9">
        <v>1</v>
      </c>
      <c r="AV34" s="9">
        <f t="shared" si="20"/>
        <v>0</v>
      </c>
      <c r="AW34">
        <v>0</v>
      </c>
    </row>
    <row r="35" spans="1:49" ht="13" customHeight="1">
      <c r="B35">
        <f t="shared" si="21"/>
        <v>163</v>
      </c>
      <c r="C35">
        <f t="shared" si="22"/>
        <v>1</v>
      </c>
      <c r="D35">
        <f t="shared" si="22"/>
        <v>1</v>
      </c>
      <c r="E35">
        <f t="shared" si="22"/>
        <v>0</v>
      </c>
      <c r="F35">
        <f t="shared" si="22"/>
        <v>0</v>
      </c>
      <c r="G35">
        <f t="shared" si="22"/>
        <v>0</v>
      </c>
      <c r="H35">
        <f t="shared" si="22"/>
        <v>1</v>
      </c>
      <c r="I35">
        <f t="shared" si="22"/>
        <v>0</v>
      </c>
      <c r="J35">
        <f t="shared" si="22"/>
        <v>1</v>
      </c>
      <c r="K35">
        <f t="shared" si="23"/>
        <v>4</v>
      </c>
      <c r="L35" s="22">
        <f t="shared" si="24"/>
        <v>1</v>
      </c>
      <c r="M35">
        <f t="shared" si="25"/>
        <v>1</v>
      </c>
      <c r="N35">
        <f t="shared" si="26"/>
        <v>170</v>
      </c>
      <c r="O35">
        <f t="shared" si="27"/>
        <v>0</v>
      </c>
      <c r="P35">
        <f t="shared" si="27"/>
        <v>1</v>
      </c>
      <c r="Q35">
        <f t="shared" si="27"/>
        <v>0</v>
      </c>
      <c r="R35">
        <f t="shared" si="27"/>
        <v>1</v>
      </c>
      <c r="S35">
        <f t="shared" si="27"/>
        <v>0</v>
      </c>
      <c r="T35">
        <f t="shared" si="27"/>
        <v>1</v>
      </c>
      <c r="U35">
        <f t="shared" si="27"/>
        <v>0</v>
      </c>
      <c r="V35">
        <f t="shared" si="27"/>
        <v>1</v>
      </c>
      <c r="W35">
        <f t="shared" si="28"/>
        <v>5</v>
      </c>
      <c r="X35" s="22">
        <f t="shared" si="29"/>
        <v>-1</v>
      </c>
      <c r="Y35">
        <f t="shared" si="30"/>
        <v>1</v>
      </c>
      <c r="Z35">
        <f t="shared" si="31"/>
        <v>221</v>
      </c>
      <c r="AA35">
        <f t="shared" si="32"/>
        <v>1</v>
      </c>
      <c r="AB35">
        <f t="shared" si="32"/>
        <v>0</v>
      </c>
      <c r="AC35">
        <f t="shared" si="32"/>
        <v>1</v>
      </c>
      <c r="AD35">
        <f t="shared" si="32"/>
        <v>1</v>
      </c>
      <c r="AE35">
        <f t="shared" si="32"/>
        <v>1</v>
      </c>
      <c r="AF35">
        <f t="shared" si="32"/>
        <v>0</v>
      </c>
      <c r="AG35">
        <f t="shared" si="32"/>
        <v>1</v>
      </c>
      <c r="AH35">
        <f t="shared" si="32"/>
        <v>1</v>
      </c>
      <c r="AI35">
        <f t="shared" si="33"/>
        <v>2</v>
      </c>
      <c r="AJ35" s="22">
        <f t="shared" si="34"/>
        <v>1</v>
      </c>
      <c r="AO35">
        <f t="shared" si="19"/>
        <v>174</v>
      </c>
      <c r="AP35" s="9">
        <v>0</v>
      </c>
      <c r="AQ35" s="9">
        <v>1</v>
      </c>
      <c r="AR35" s="9">
        <v>1</v>
      </c>
      <c r="AS35">
        <v>1</v>
      </c>
      <c r="AT35" s="9">
        <v>0</v>
      </c>
      <c r="AU35" s="9">
        <v>1</v>
      </c>
      <c r="AV35" s="9">
        <f t="shared" si="20"/>
        <v>0</v>
      </c>
      <c r="AW35">
        <v>1</v>
      </c>
    </row>
    <row r="36" spans="1:49" ht="13" customHeight="1">
      <c r="B36">
        <f t="shared" si="21"/>
        <v>253</v>
      </c>
      <c r="C36">
        <f t="shared" si="22"/>
        <v>1</v>
      </c>
      <c r="D36">
        <f t="shared" si="22"/>
        <v>0</v>
      </c>
      <c r="E36">
        <f t="shared" si="22"/>
        <v>1</v>
      </c>
      <c r="F36">
        <f t="shared" si="22"/>
        <v>1</v>
      </c>
      <c r="G36">
        <f t="shared" si="22"/>
        <v>1</v>
      </c>
      <c r="H36">
        <f t="shared" si="22"/>
        <v>1</v>
      </c>
      <c r="I36">
        <f t="shared" si="22"/>
        <v>1</v>
      </c>
      <c r="J36">
        <f t="shared" si="22"/>
        <v>1</v>
      </c>
      <c r="K36">
        <f t="shared" si="23"/>
        <v>5</v>
      </c>
      <c r="L36" s="22">
        <f t="shared" si="24"/>
        <v>1</v>
      </c>
      <c r="M36">
        <f t="shared" si="25"/>
        <v>1</v>
      </c>
      <c r="N36">
        <f t="shared" si="26"/>
        <v>89</v>
      </c>
      <c r="O36">
        <f t="shared" si="27"/>
        <v>1</v>
      </c>
      <c r="P36">
        <f t="shared" si="27"/>
        <v>0</v>
      </c>
      <c r="Q36">
        <f t="shared" si="27"/>
        <v>0</v>
      </c>
      <c r="R36">
        <f t="shared" si="27"/>
        <v>1</v>
      </c>
      <c r="S36">
        <f t="shared" si="27"/>
        <v>1</v>
      </c>
      <c r="T36">
        <f t="shared" si="27"/>
        <v>0</v>
      </c>
      <c r="U36">
        <f t="shared" si="27"/>
        <v>1</v>
      </c>
      <c r="V36">
        <f t="shared" si="27"/>
        <v>0</v>
      </c>
      <c r="W36">
        <f t="shared" si="28"/>
        <v>5</v>
      </c>
      <c r="X36" s="22">
        <f t="shared" si="29"/>
        <v>1</v>
      </c>
      <c r="Y36">
        <f t="shared" si="30"/>
        <v>1</v>
      </c>
      <c r="Z36">
        <f t="shared" si="31"/>
        <v>91</v>
      </c>
      <c r="AA36">
        <f t="shared" si="32"/>
        <v>1</v>
      </c>
      <c r="AB36">
        <f t="shared" si="32"/>
        <v>1</v>
      </c>
      <c r="AC36">
        <f t="shared" si="32"/>
        <v>0</v>
      </c>
      <c r="AD36">
        <f t="shared" si="32"/>
        <v>1</v>
      </c>
      <c r="AE36">
        <f t="shared" si="32"/>
        <v>1</v>
      </c>
      <c r="AF36">
        <f t="shared" si="32"/>
        <v>0</v>
      </c>
      <c r="AG36">
        <f t="shared" si="32"/>
        <v>1</v>
      </c>
      <c r="AH36">
        <f t="shared" si="32"/>
        <v>0</v>
      </c>
      <c r="AI36">
        <f t="shared" si="33"/>
        <v>5</v>
      </c>
      <c r="AJ36" s="22">
        <f t="shared" si="34"/>
        <v>1</v>
      </c>
      <c r="AO36">
        <f t="shared" si="19"/>
        <v>18</v>
      </c>
      <c r="AP36" s="9">
        <v>0</v>
      </c>
      <c r="AQ36" s="9">
        <v>1</v>
      </c>
      <c r="AR36" s="9">
        <v>0</v>
      </c>
      <c r="AS36" s="9">
        <v>0</v>
      </c>
      <c r="AT36" s="9">
        <v>1</v>
      </c>
      <c r="AU36" s="9">
        <v>0</v>
      </c>
      <c r="AV36" s="9">
        <f t="shared" si="20"/>
        <v>0</v>
      </c>
      <c r="AW36">
        <v>0</v>
      </c>
    </row>
    <row r="37" spans="1:49" ht="13" customHeight="1">
      <c r="B37">
        <f t="shared" si="21"/>
        <v>204</v>
      </c>
      <c r="C37">
        <f t="shared" si="22"/>
        <v>0</v>
      </c>
      <c r="D37">
        <f t="shared" si="22"/>
        <v>0</v>
      </c>
      <c r="E37">
        <f t="shared" si="22"/>
        <v>1</v>
      </c>
      <c r="F37">
        <f t="shared" si="22"/>
        <v>1</v>
      </c>
      <c r="G37">
        <f t="shared" si="22"/>
        <v>0</v>
      </c>
      <c r="H37">
        <f t="shared" si="22"/>
        <v>0</v>
      </c>
      <c r="I37">
        <f t="shared" si="22"/>
        <v>1</v>
      </c>
      <c r="J37">
        <f t="shared" si="22"/>
        <v>1</v>
      </c>
      <c r="K37">
        <f t="shared" si="23"/>
        <v>4</v>
      </c>
      <c r="L37" s="22">
        <f t="shared" si="24"/>
        <v>-1</v>
      </c>
      <c r="M37">
        <f t="shared" si="25"/>
        <v>1</v>
      </c>
      <c r="N37">
        <f t="shared" si="26"/>
        <v>242</v>
      </c>
      <c r="O37">
        <f t="shared" si="27"/>
        <v>0</v>
      </c>
      <c r="P37">
        <f t="shared" si="27"/>
        <v>1</v>
      </c>
      <c r="Q37">
        <f t="shared" si="27"/>
        <v>0</v>
      </c>
      <c r="R37">
        <f t="shared" si="27"/>
        <v>0</v>
      </c>
      <c r="S37">
        <f t="shared" si="27"/>
        <v>1</v>
      </c>
      <c r="T37">
        <f t="shared" si="27"/>
        <v>1</v>
      </c>
      <c r="U37">
        <f t="shared" si="27"/>
        <v>1</v>
      </c>
      <c r="V37">
        <f t="shared" si="27"/>
        <v>1</v>
      </c>
      <c r="W37">
        <f t="shared" si="28"/>
        <v>4</v>
      </c>
      <c r="X37" s="22">
        <f t="shared" si="29"/>
        <v>-1</v>
      </c>
      <c r="Y37">
        <f t="shared" si="30"/>
        <v>1</v>
      </c>
      <c r="Z37">
        <f t="shared" si="31"/>
        <v>231</v>
      </c>
      <c r="AA37">
        <f t="shared" si="32"/>
        <v>1</v>
      </c>
      <c r="AB37">
        <f t="shared" si="32"/>
        <v>1</v>
      </c>
      <c r="AC37">
        <f t="shared" si="32"/>
        <v>1</v>
      </c>
      <c r="AD37">
        <f t="shared" si="32"/>
        <v>0</v>
      </c>
      <c r="AE37">
        <f t="shared" si="32"/>
        <v>0</v>
      </c>
      <c r="AF37">
        <f t="shared" si="32"/>
        <v>1</v>
      </c>
      <c r="AG37">
        <f t="shared" si="32"/>
        <v>1</v>
      </c>
      <c r="AH37">
        <f t="shared" si="32"/>
        <v>1</v>
      </c>
      <c r="AI37">
        <f t="shared" si="33"/>
        <v>4</v>
      </c>
      <c r="AJ37" s="22">
        <f t="shared" si="34"/>
        <v>1</v>
      </c>
      <c r="AO37">
        <f t="shared" si="19"/>
        <v>57</v>
      </c>
      <c r="AP37" s="9">
        <v>1</v>
      </c>
      <c r="AQ37" s="9">
        <v>0</v>
      </c>
      <c r="AR37" s="9">
        <v>0</v>
      </c>
      <c r="AS37">
        <v>1</v>
      </c>
      <c r="AT37" s="9">
        <v>1</v>
      </c>
      <c r="AU37" s="9">
        <v>1</v>
      </c>
      <c r="AV37" s="9">
        <f t="shared" si="20"/>
        <v>0</v>
      </c>
      <c r="AW37" s="9">
        <v>0</v>
      </c>
    </row>
    <row r="38" spans="1:49" ht="13" customHeight="1">
      <c r="B38">
        <f t="shared" si="21"/>
        <v>0</v>
      </c>
      <c r="C38">
        <f t="shared" si="22"/>
        <v>0</v>
      </c>
      <c r="D38">
        <f t="shared" si="22"/>
        <v>0</v>
      </c>
      <c r="E38">
        <f t="shared" si="22"/>
        <v>0</v>
      </c>
      <c r="F38">
        <f t="shared" si="22"/>
        <v>0</v>
      </c>
      <c r="G38">
        <f t="shared" si="22"/>
        <v>0</v>
      </c>
      <c r="H38">
        <f t="shared" si="22"/>
        <v>0</v>
      </c>
      <c r="I38">
        <f t="shared" si="22"/>
        <v>0</v>
      </c>
      <c r="J38">
        <f t="shared" si="22"/>
        <v>0</v>
      </c>
      <c r="K38">
        <f t="shared" si="23"/>
        <v>1</v>
      </c>
      <c r="L38" s="22">
        <f t="shared" si="24"/>
        <v>0</v>
      </c>
      <c r="M38">
        <f t="shared" si="25"/>
        <v>0</v>
      </c>
      <c r="N38">
        <f t="shared" si="26"/>
        <v>0</v>
      </c>
      <c r="O38">
        <f t="shared" si="27"/>
        <v>0</v>
      </c>
      <c r="P38">
        <f t="shared" si="27"/>
        <v>0</v>
      </c>
      <c r="Q38">
        <f t="shared" si="27"/>
        <v>0</v>
      </c>
      <c r="R38">
        <f t="shared" si="27"/>
        <v>0</v>
      </c>
      <c r="S38">
        <f t="shared" si="27"/>
        <v>0</v>
      </c>
      <c r="T38">
        <f t="shared" si="27"/>
        <v>0</v>
      </c>
      <c r="U38">
        <f t="shared" si="27"/>
        <v>0</v>
      </c>
      <c r="V38">
        <f t="shared" si="27"/>
        <v>0</v>
      </c>
      <c r="W38">
        <f t="shared" si="28"/>
        <v>1</v>
      </c>
      <c r="X38" s="22">
        <f t="shared" si="29"/>
        <v>0</v>
      </c>
      <c r="Y38">
        <f t="shared" si="30"/>
        <v>0</v>
      </c>
      <c r="Z38">
        <f t="shared" si="31"/>
        <v>0</v>
      </c>
      <c r="AA38">
        <f t="shared" si="32"/>
        <v>0</v>
      </c>
      <c r="AB38">
        <f t="shared" si="32"/>
        <v>0</v>
      </c>
      <c r="AC38">
        <f t="shared" si="32"/>
        <v>0</v>
      </c>
      <c r="AD38">
        <f t="shared" si="32"/>
        <v>0</v>
      </c>
      <c r="AE38">
        <f t="shared" si="32"/>
        <v>0</v>
      </c>
      <c r="AF38">
        <f t="shared" si="32"/>
        <v>0</v>
      </c>
      <c r="AG38">
        <f t="shared" si="32"/>
        <v>0</v>
      </c>
      <c r="AH38">
        <f t="shared" si="32"/>
        <v>0</v>
      </c>
      <c r="AI38">
        <f t="shared" si="33"/>
        <v>1</v>
      </c>
      <c r="AJ38" s="22">
        <f t="shared" si="34"/>
        <v>0</v>
      </c>
      <c r="AO38">
        <f t="shared" si="19"/>
        <v>170</v>
      </c>
      <c r="AP38" s="9">
        <v>0</v>
      </c>
      <c r="AQ38" s="9">
        <v>1</v>
      </c>
      <c r="AR38" s="9">
        <v>0</v>
      </c>
      <c r="AS38" s="9">
        <v>1</v>
      </c>
      <c r="AT38" s="9">
        <v>0</v>
      </c>
      <c r="AU38" s="9">
        <v>1</v>
      </c>
      <c r="AV38" s="9">
        <f t="shared" si="20"/>
        <v>0</v>
      </c>
      <c r="AW38" s="9">
        <v>1</v>
      </c>
    </row>
    <row r="39" spans="1:49" ht="13" customHeight="1">
      <c r="B39">
        <f t="shared" si="21"/>
        <v>110</v>
      </c>
      <c r="C39">
        <f t="shared" si="22"/>
        <v>0</v>
      </c>
      <c r="D39">
        <f t="shared" si="22"/>
        <v>1</v>
      </c>
      <c r="E39">
        <f t="shared" si="22"/>
        <v>1</v>
      </c>
      <c r="F39">
        <f t="shared" si="22"/>
        <v>1</v>
      </c>
      <c r="G39">
        <f t="shared" si="22"/>
        <v>0</v>
      </c>
      <c r="H39">
        <f t="shared" si="22"/>
        <v>1</v>
      </c>
      <c r="I39">
        <f t="shared" si="22"/>
        <v>1</v>
      </c>
      <c r="J39">
        <f t="shared" si="22"/>
        <v>0</v>
      </c>
      <c r="K39">
        <f t="shared" si="23"/>
        <v>3</v>
      </c>
      <c r="L39" s="22">
        <f t="shared" si="24"/>
        <v>-1</v>
      </c>
      <c r="M39">
        <f t="shared" si="25"/>
        <v>1</v>
      </c>
      <c r="N39">
        <f t="shared" si="26"/>
        <v>241</v>
      </c>
      <c r="O39">
        <f t="shared" si="27"/>
        <v>1</v>
      </c>
      <c r="P39">
        <f t="shared" si="27"/>
        <v>0</v>
      </c>
      <c r="Q39">
        <f t="shared" si="27"/>
        <v>0</v>
      </c>
      <c r="R39">
        <f t="shared" si="27"/>
        <v>0</v>
      </c>
      <c r="S39">
        <f t="shared" si="27"/>
        <v>1</v>
      </c>
      <c r="T39">
        <f t="shared" si="27"/>
        <v>1</v>
      </c>
      <c r="U39">
        <f t="shared" si="27"/>
        <v>1</v>
      </c>
      <c r="V39">
        <f t="shared" si="27"/>
        <v>1</v>
      </c>
      <c r="W39">
        <f t="shared" si="28"/>
        <v>1</v>
      </c>
      <c r="X39" s="22">
        <f t="shared" si="29"/>
        <v>1</v>
      </c>
      <c r="Y39">
        <f t="shared" si="30"/>
        <v>1</v>
      </c>
      <c r="Z39">
        <f t="shared" si="31"/>
        <v>31</v>
      </c>
      <c r="AA39">
        <f t="shared" si="32"/>
        <v>1</v>
      </c>
      <c r="AB39">
        <f t="shared" si="32"/>
        <v>1</v>
      </c>
      <c r="AC39">
        <f t="shared" si="32"/>
        <v>1</v>
      </c>
      <c r="AD39">
        <f t="shared" si="32"/>
        <v>1</v>
      </c>
      <c r="AE39">
        <f t="shared" si="32"/>
        <v>1</v>
      </c>
      <c r="AF39">
        <f t="shared" si="32"/>
        <v>0</v>
      </c>
      <c r="AG39">
        <f t="shared" si="32"/>
        <v>0</v>
      </c>
      <c r="AH39">
        <f t="shared" si="32"/>
        <v>0</v>
      </c>
      <c r="AI39">
        <f t="shared" si="33"/>
        <v>4</v>
      </c>
      <c r="AJ39" s="22">
        <f t="shared" si="34"/>
        <v>1</v>
      </c>
      <c r="AO39">
        <f t="shared" si="19"/>
        <v>102</v>
      </c>
      <c r="AP39" s="9">
        <v>0</v>
      </c>
      <c r="AQ39" s="9">
        <v>1</v>
      </c>
      <c r="AR39" s="9">
        <v>1</v>
      </c>
      <c r="AS39" s="9">
        <v>0</v>
      </c>
      <c r="AT39" s="9">
        <v>0</v>
      </c>
      <c r="AU39" s="9">
        <v>1</v>
      </c>
      <c r="AV39" s="9">
        <f t="shared" si="20"/>
        <v>1</v>
      </c>
      <c r="AW39" s="9">
        <v>0</v>
      </c>
    </row>
    <row r="40" spans="1:49" ht="13" customHeight="1">
      <c r="B40">
        <f t="shared" si="21"/>
        <v>249</v>
      </c>
      <c r="C40">
        <f t="shared" si="22"/>
        <v>1</v>
      </c>
      <c r="D40">
        <f t="shared" si="22"/>
        <v>0</v>
      </c>
      <c r="E40">
        <f t="shared" si="22"/>
        <v>0</v>
      </c>
      <c r="F40">
        <f t="shared" si="22"/>
        <v>1</v>
      </c>
      <c r="G40">
        <f t="shared" si="22"/>
        <v>1</v>
      </c>
      <c r="H40">
        <f t="shared" si="22"/>
        <v>1</v>
      </c>
      <c r="I40">
        <f t="shared" si="22"/>
        <v>1</v>
      </c>
      <c r="J40">
        <f t="shared" si="22"/>
        <v>1</v>
      </c>
      <c r="K40">
        <f t="shared" si="23"/>
        <v>4</v>
      </c>
      <c r="L40" s="22">
        <f t="shared" si="24"/>
        <v>-1</v>
      </c>
      <c r="M40">
        <f t="shared" si="25"/>
        <v>1</v>
      </c>
      <c r="N40">
        <f t="shared" si="26"/>
        <v>14</v>
      </c>
      <c r="O40">
        <f t="shared" si="27"/>
        <v>0</v>
      </c>
      <c r="P40">
        <f t="shared" si="27"/>
        <v>1</v>
      </c>
      <c r="Q40">
        <f t="shared" si="27"/>
        <v>1</v>
      </c>
      <c r="R40">
        <f t="shared" si="27"/>
        <v>1</v>
      </c>
      <c r="S40">
        <f t="shared" si="27"/>
        <v>0</v>
      </c>
      <c r="T40">
        <f t="shared" si="27"/>
        <v>0</v>
      </c>
      <c r="U40">
        <f t="shared" si="27"/>
        <v>0</v>
      </c>
      <c r="V40">
        <f t="shared" si="27"/>
        <v>0</v>
      </c>
      <c r="W40">
        <f t="shared" si="28"/>
        <v>6</v>
      </c>
      <c r="X40" s="22">
        <f t="shared" si="29"/>
        <v>-1</v>
      </c>
      <c r="Y40">
        <f t="shared" si="30"/>
        <v>1</v>
      </c>
      <c r="Z40">
        <f t="shared" si="31"/>
        <v>44</v>
      </c>
      <c r="AA40">
        <f t="shared" si="32"/>
        <v>0</v>
      </c>
      <c r="AB40">
        <f t="shared" si="32"/>
        <v>0</v>
      </c>
      <c r="AC40">
        <f t="shared" si="32"/>
        <v>1</v>
      </c>
      <c r="AD40">
        <f t="shared" si="32"/>
        <v>1</v>
      </c>
      <c r="AE40">
        <f t="shared" si="32"/>
        <v>0</v>
      </c>
      <c r="AF40">
        <f t="shared" si="32"/>
        <v>1</v>
      </c>
      <c r="AG40">
        <f t="shared" si="32"/>
        <v>0</v>
      </c>
      <c r="AH40">
        <f t="shared" si="32"/>
        <v>0</v>
      </c>
      <c r="AI40">
        <f t="shared" si="33"/>
        <v>6</v>
      </c>
      <c r="AJ40" s="22">
        <f t="shared" si="34"/>
        <v>-1</v>
      </c>
      <c r="AO40">
        <f t="shared" si="19"/>
        <v>37</v>
      </c>
      <c r="AP40" s="9">
        <v>1</v>
      </c>
      <c r="AQ40" s="9">
        <v>0</v>
      </c>
      <c r="AR40" s="9">
        <v>1</v>
      </c>
      <c r="AS40" s="9">
        <v>0</v>
      </c>
      <c r="AT40" s="9">
        <v>0</v>
      </c>
      <c r="AU40" s="9">
        <v>1</v>
      </c>
      <c r="AV40" s="9">
        <f t="shared" si="20"/>
        <v>0</v>
      </c>
      <c r="AW40" s="9">
        <v>0</v>
      </c>
    </row>
    <row r="41" spans="1:49" ht="13" customHeight="1">
      <c r="B41">
        <f t="shared" si="21"/>
        <v>170</v>
      </c>
      <c r="C41">
        <f t="shared" si="22"/>
        <v>0</v>
      </c>
      <c r="D41">
        <f t="shared" si="22"/>
        <v>1</v>
      </c>
      <c r="E41">
        <f t="shared" si="22"/>
        <v>0</v>
      </c>
      <c r="F41">
        <f t="shared" si="22"/>
        <v>1</v>
      </c>
      <c r="G41">
        <f t="shared" si="22"/>
        <v>0</v>
      </c>
      <c r="H41">
        <f t="shared" si="22"/>
        <v>1</v>
      </c>
      <c r="I41">
        <f t="shared" si="22"/>
        <v>0</v>
      </c>
      <c r="J41">
        <f t="shared" si="22"/>
        <v>1</v>
      </c>
      <c r="K41">
        <f t="shared" si="23"/>
        <v>2</v>
      </c>
      <c r="L41" s="22">
        <f t="shared" si="24"/>
        <v>1</v>
      </c>
      <c r="M41">
        <f t="shared" si="25"/>
        <v>1</v>
      </c>
      <c r="N41">
        <f t="shared" si="26"/>
        <v>144</v>
      </c>
      <c r="O41">
        <f t="shared" si="27"/>
        <v>0</v>
      </c>
      <c r="P41">
        <f t="shared" si="27"/>
        <v>0</v>
      </c>
      <c r="Q41">
        <f t="shared" si="27"/>
        <v>0</v>
      </c>
      <c r="R41">
        <f t="shared" si="27"/>
        <v>0</v>
      </c>
      <c r="S41">
        <f t="shared" si="27"/>
        <v>1</v>
      </c>
      <c r="T41">
        <f t="shared" si="27"/>
        <v>0</v>
      </c>
      <c r="U41">
        <f t="shared" si="27"/>
        <v>0</v>
      </c>
      <c r="V41">
        <f t="shared" si="27"/>
        <v>1</v>
      </c>
      <c r="W41">
        <f t="shared" si="28"/>
        <v>2</v>
      </c>
      <c r="X41" s="22">
        <f t="shared" si="29"/>
        <v>1</v>
      </c>
      <c r="Y41">
        <f t="shared" si="30"/>
        <v>1</v>
      </c>
      <c r="Z41">
        <f t="shared" si="31"/>
        <v>144</v>
      </c>
      <c r="AA41">
        <f t="shared" si="32"/>
        <v>0</v>
      </c>
      <c r="AB41">
        <f t="shared" si="32"/>
        <v>0</v>
      </c>
      <c r="AC41">
        <f t="shared" si="32"/>
        <v>0</v>
      </c>
      <c r="AD41">
        <f t="shared" si="32"/>
        <v>0</v>
      </c>
      <c r="AE41">
        <f t="shared" si="32"/>
        <v>1</v>
      </c>
      <c r="AF41">
        <f t="shared" si="32"/>
        <v>0</v>
      </c>
      <c r="AG41">
        <f t="shared" si="32"/>
        <v>0</v>
      </c>
      <c r="AH41">
        <f t="shared" si="32"/>
        <v>1</v>
      </c>
      <c r="AI41">
        <f t="shared" si="33"/>
        <v>2</v>
      </c>
      <c r="AJ41" s="22">
        <f t="shared" si="34"/>
        <v>1</v>
      </c>
    </row>
    <row r="42" spans="1:49" ht="13" customHeight="1">
      <c r="M42">
        <f>BIN2DEC(reverse(_xlfn.CONCAT(M34:M41)))</f>
        <v>238</v>
      </c>
      <c r="Y42">
        <f>BIN2DEC(reverse(_xlfn.CONCAT(Y34:Y41)))</f>
        <v>238</v>
      </c>
    </row>
    <row r="43" spans="1:49" ht="13" customHeight="1">
      <c r="B43" s="2" t="s">
        <v>50</v>
      </c>
      <c r="K43" s="2" t="s">
        <v>24</v>
      </c>
      <c r="L43" s="2" t="s">
        <v>51</v>
      </c>
      <c r="O43" s="1" t="s">
        <v>51</v>
      </c>
      <c r="R43" s="2"/>
      <c r="S43" s="2"/>
      <c r="T43" s="2"/>
      <c r="W43" s="2" t="s">
        <v>22</v>
      </c>
      <c r="X43" s="2" t="s">
        <v>52</v>
      </c>
      <c r="Y43" s="1" t="s">
        <v>54</v>
      </c>
      <c r="Z43" s="1" t="s">
        <v>55</v>
      </c>
    </row>
    <row r="44" spans="1:49" ht="13" customHeight="1">
      <c r="B44">
        <f>BIN2DEC(reverse(_xlfn.CONCAT(C44:J44)))</f>
        <v>7</v>
      </c>
      <c r="C44" s="12">
        <v>1</v>
      </c>
      <c r="D44" s="12">
        <v>1</v>
      </c>
      <c r="E44" s="12">
        <v>1</v>
      </c>
      <c r="F44" s="12">
        <v>0</v>
      </c>
      <c r="G44" s="12">
        <v>0</v>
      </c>
      <c r="H44" s="1">
        <v>0</v>
      </c>
      <c r="I44" s="1">
        <v>0</v>
      </c>
      <c r="J44" s="1">
        <v>0</v>
      </c>
      <c r="O44" s="13">
        <f t="array" ref="O44:V44">TRANSPOSE(L46:L53)</f>
        <v>1</v>
      </c>
      <c r="P44" s="13">
        <v>1</v>
      </c>
      <c r="Q44" s="13">
        <v>1</v>
      </c>
      <c r="R44" s="12">
        <v>1</v>
      </c>
      <c r="S44" s="12">
        <v>1</v>
      </c>
      <c r="T44" s="13">
        <v>1</v>
      </c>
      <c r="U44" s="13">
        <v>0</v>
      </c>
      <c r="V44" s="13">
        <v>1</v>
      </c>
      <c r="X44" s="2"/>
      <c r="Y44" s="2"/>
      <c r="Z44" s="2"/>
    </row>
    <row r="45" spans="1:49" ht="13" customHeight="1">
      <c r="A45" s="2"/>
      <c r="B45" s="1" t="s">
        <v>25</v>
      </c>
      <c r="M45" s="2"/>
      <c r="N45" s="1" t="s">
        <v>23</v>
      </c>
      <c r="O45" t="s">
        <v>177</v>
      </c>
      <c r="AK45" s="2"/>
    </row>
    <row r="46" spans="1:49" ht="13" customHeight="1">
      <c r="B46">
        <f t="shared" ref="B46:B53" si="35">BIN2DEC(reverse(_xlfn.CONCAT(C46:J46)))</f>
        <v>194</v>
      </c>
      <c r="C46" s="1">
        <f>C14</f>
        <v>0</v>
      </c>
      <c r="D46" s="30">
        <f t="shared" ref="D46:E46" si="36">D14</f>
        <v>1</v>
      </c>
      <c r="E46" s="30">
        <f t="shared" si="36"/>
        <v>0</v>
      </c>
      <c r="F46" s="30">
        <f t="shared" ref="F46:G46" si="37">F14</f>
        <v>0</v>
      </c>
      <c r="G46" s="30">
        <f t="shared" si="37"/>
        <v>0</v>
      </c>
      <c r="H46" s="30">
        <f t="shared" ref="H46:J46" si="38">H14</f>
        <v>0</v>
      </c>
      <c r="I46" s="31">
        <f t="shared" ref="I46" si="39">IF(IF(I34,NOT(I14),I14),1,0)</f>
        <v>1</v>
      </c>
      <c r="J46" s="30">
        <f t="shared" si="38"/>
        <v>1</v>
      </c>
      <c r="K46" s="1">
        <v>3</v>
      </c>
      <c r="L46">
        <f t="shared" ref="L46:L53" si="40">IF(K56&gt;=K46, 1, 0)</f>
        <v>1</v>
      </c>
      <c r="N46">
        <f t="shared" ref="N46:N53" si="41">BIN2DEC(reverse(_xlfn.CONCAT(O46:V46)))</f>
        <v>209</v>
      </c>
      <c r="O46" s="31">
        <f>IF(IF(O34,NOT(O14),O14),1,0)</f>
        <v>1</v>
      </c>
      <c r="P46" s="1">
        <f>P14</f>
        <v>0</v>
      </c>
      <c r="Q46" s="30">
        <f t="shared" ref="Q46:V46" si="42">Q14</f>
        <v>0</v>
      </c>
      <c r="R46" s="30">
        <f t="shared" si="42"/>
        <v>0</v>
      </c>
      <c r="S46" s="30">
        <f t="shared" si="42"/>
        <v>1</v>
      </c>
      <c r="T46" s="30">
        <f t="shared" si="42"/>
        <v>0</v>
      </c>
      <c r="U46" s="30">
        <f t="shared" si="42"/>
        <v>1</v>
      </c>
      <c r="V46" s="30">
        <f t="shared" si="42"/>
        <v>1</v>
      </c>
      <c r="W46" s="1">
        <v>3</v>
      </c>
      <c r="X46">
        <f t="shared" ref="X46:X53" si="43">IF(W56&gt;=W46, 1, 0)</f>
        <v>1</v>
      </c>
      <c r="Y46" s="1">
        <v>1</v>
      </c>
      <c r="Z46">
        <f t="shared" ref="Z46:Z53" si="44">IF(_xlfn.XOR(L46,Y46), 1, 0)</f>
        <v>0</v>
      </c>
      <c r="AK46" s="2"/>
      <c r="AL46" s="2"/>
      <c r="AM46" s="2"/>
    </row>
    <row r="47" spans="1:49" ht="13" customHeight="1">
      <c r="B47">
        <f t="shared" si="35"/>
        <v>170</v>
      </c>
      <c r="C47" s="30">
        <f t="shared" ref="C47:G47" si="45">C15</f>
        <v>0</v>
      </c>
      <c r="D47" s="30">
        <f t="shared" si="45"/>
        <v>1</v>
      </c>
      <c r="E47" s="30">
        <f t="shared" si="45"/>
        <v>0</v>
      </c>
      <c r="F47" s="30">
        <f t="shared" si="45"/>
        <v>1</v>
      </c>
      <c r="G47" s="30">
        <f t="shared" si="45"/>
        <v>0</v>
      </c>
      <c r="H47" s="30">
        <f t="shared" ref="H47:J47" si="46">H15</f>
        <v>1</v>
      </c>
      <c r="I47" s="31">
        <f t="shared" ref="I47" si="47">IF(IF(I35,NOT(I15),I15),1,0)</f>
        <v>0</v>
      </c>
      <c r="J47" s="30">
        <f t="shared" si="46"/>
        <v>1</v>
      </c>
      <c r="K47" s="1">
        <v>3</v>
      </c>
      <c r="L47">
        <f t="shared" si="40"/>
        <v>1</v>
      </c>
      <c r="N47">
        <f t="shared" si="41"/>
        <v>194</v>
      </c>
      <c r="O47" s="31">
        <f t="shared" ref="O47:O53" si="48">IF(IF(O35,NOT(O15),O15),1,0)</f>
        <v>0</v>
      </c>
      <c r="P47" s="30">
        <f t="shared" ref="P47:V47" si="49">P15</f>
        <v>1</v>
      </c>
      <c r="Q47" s="30">
        <f t="shared" si="49"/>
        <v>0</v>
      </c>
      <c r="R47" s="30">
        <f t="shared" si="49"/>
        <v>0</v>
      </c>
      <c r="S47" s="30">
        <f t="shared" si="49"/>
        <v>0</v>
      </c>
      <c r="T47" s="30">
        <f t="shared" si="49"/>
        <v>0</v>
      </c>
      <c r="U47" s="30">
        <f t="shared" si="49"/>
        <v>1</v>
      </c>
      <c r="V47" s="30">
        <f t="shared" si="49"/>
        <v>1</v>
      </c>
      <c r="W47" s="1">
        <v>6</v>
      </c>
      <c r="X47">
        <f t="shared" si="43"/>
        <v>1</v>
      </c>
      <c r="Y47" s="1">
        <v>0</v>
      </c>
      <c r="Z47">
        <f t="shared" si="44"/>
        <v>1</v>
      </c>
    </row>
    <row r="48" spans="1:49" ht="13" customHeight="1">
      <c r="B48">
        <f t="shared" si="35"/>
        <v>180</v>
      </c>
      <c r="C48" s="30">
        <f t="shared" ref="C48:G48" si="50">C16</f>
        <v>0</v>
      </c>
      <c r="D48" s="30">
        <f t="shared" si="50"/>
        <v>0</v>
      </c>
      <c r="E48" s="30">
        <f t="shared" si="50"/>
        <v>1</v>
      </c>
      <c r="F48" s="30">
        <f t="shared" si="50"/>
        <v>0</v>
      </c>
      <c r="G48" s="30">
        <f t="shared" si="50"/>
        <v>1</v>
      </c>
      <c r="H48" s="30">
        <f t="shared" ref="H48:J48" si="51">H16</f>
        <v>1</v>
      </c>
      <c r="I48" s="31">
        <f t="shared" ref="I48" si="52">IF(IF(I36,NOT(I16),I16),1,0)</f>
        <v>0</v>
      </c>
      <c r="J48" s="30">
        <f t="shared" si="51"/>
        <v>1</v>
      </c>
      <c r="K48" s="1">
        <v>4</v>
      </c>
      <c r="L48">
        <f t="shared" si="40"/>
        <v>1</v>
      </c>
      <c r="N48">
        <f t="shared" si="41"/>
        <v>207</v>
      </c>
      <c r="O48" s="31">
        <f t="shared" si="48"/>
        <v>1</v>
      </c>
      <c r="P48" s="30">
        <f t="shared" ref="P48:V48" si="53">P16</f>
        <v>1</v>
      </c>
      <c r="Q48" s="30">
        <f t="shared" si="53"/>
        <v>1</v>
      </c>
      <c r="R48" s="30">
        <f t="shared" si="53"/>
        <v>1</v>
      </c>
      <c r="S48" s="30">
        <f t="shared" si="53"/>
        <v>0</v>
      </c>
      <c r="T48" s="30">
        <f t="shared" si="53"/>
        <v>0</v>
      </c>
      <c r="U48" s="30">
        <f t="shared" si="53"/>
        <v>1</v>
      </c>
      <c r="V48" s="30">
        <f t="shared" si="53"/>
        <v>1</v>
      </c>
      <c r="W48" s="1">
        <v>4</v>
      </c>
      <c r="X48">
        <f t="shared" si="43"/>
        <v>0</v>
      </c>
      <c r="Y48" s="1">
        <v>0</v>
      </c>
      <c r="Z48">
        <f t="shared" si="44"/>
        <v>1</v>
      </c>
      <c r="AE48" s="15"/>
    </row>
    <row r="49" spans="2:41" ht="13" customHeight="1">
      <c r="B49">
        <f t="shared" si="35"/>
        <v>122</v>
      </c>
      <c r="C49" s="30">
        <f t="shared" ref="C49:G49" si="54">C17</f>
        <v>0</v>
      </c>
      <c r="D49" s="30">
        <f t="shared" si="54"/>
        <v>1</v>
      </c>
      <c r="E49" s="30">
        <f t="shared" si="54"/>
        <v>0</v>
      </c>
      <c r="F49" s="30">
        <f t="shared" si="54"/>
        <v>1</v>
      </c>
      <c r="G49" s="30">
        <f t="shared" si="54"/>
        <v>1</v>
      </c>
      <c r="H49" s="30">
        <f t="shared" ref="H49:J49" si="55">H17</f>
        <v>1</v>
      </c>
      <c r="I49" s="31">
        <f t="shared" ref="I49" si="56">IF(IF(I37,NOT(I17),I17),1,0)</f>
        <v>1</v>
      </c>
      <c r="J49" s="30">
        <f t="shared" si="55"/>
        <v>0</v>
      </c>
      <c r="K49" s="1">
        <v>5</v>
      </c>
      <c r="L49">
        <f t="shared" si="40"/>
        <v>1</v>
      </c>
      <c r="N49">
        <f t="shared" si="41"/>
        <v>154</v>
      </c>
      <c r="O49" s="31">
        <f t="shared" si="48"/>
        <v>0</v>
      </c>
      <c r="P49" s="30">
        <f t="shared" ref="P49:V49" si="57">P17</f>
        <v>1</v>
      </c>
      <c r="Q49" s="30">
        <f t="shared" si="57"/>
        <v>0</v>
      </c>
      <c r="R49" s="30">
        <f t="shared" si="57"/>
        <v>1</v>
      </c>
      <c r="S49" s="30">
        <f t="shared" si="57"/>
        <v>1</v>
      </c>
      <c r="T49" s="30">
        <f t="shared" si="57"/>
        <v>0</v>
      </c>
      <c r="U49" s="30">
        <f t="shared" si="57"/>
        <v>0</v>
      </c>
      <c r="V49" s="30">
        <f t="shared" si="57"/>
        <v>1</v>
      </c>
      <c r="W49" s="1">
        <v>5</v>
      </c>
      <c r="X49">
        <f t="shared" si="43"/>
        <v>0</v>
      </c>
      <c r="Y49" s="1">
        <v>0</v>
      </c>
      <c r="Z49">
        <f t="shared" si="44"/>
        <v>1</v>
      </c>
      <c r="AE49" s="4"/>
    </row>
    <row r="50" spans="2:41" ht="13" customHeight="1">
      <c r="B50">
        <f t="shared" si="35"/>
        <v>24</v>
      </c>
      <c r="C50" s="30">
        <f t="shared" ref="C50:G50" si="58">C18</f>
        <v>0</v>
      </c>
      <c r="D50" s="30">
        <f t="shared" si="58"/>
        <v>0</v>
      </c>
      <c r="E50" s="30">
        <f t="shared" si="58"/>
        <v>0</v>
      </c>
      <c r="F50" s="30">
        <f t="shared" si="58"/>
        <v>1</v>
      </c>
      <c r="G50" s="30">
        <f t="shared" si="58"/>
        <v>1</v>
      </c>
      <c r="H50" s="30">
        <f t="shared" ref="H50:J50" si="59">H18</f>
        <v>0</v>
      </c>
      <c r="I50" s="31">
        <f t="shared" ref="I50" si="60">IF(IF(I38,NOT(I18),I18),1,0)</f>
        <v>0</v>
      </c>
      <c r="J50" s="30">
        <f t="shared" si="59"/>
        <v>0</v>
      </c>
      <c r="K50" s="1">
        <v>1</v>
      </c>
      <c r="L50">
        <f t="shared" si="40"/>
        <v>1</v>
      </c>
      <c r="N50">
        <f t="shared" si="41"/>
        <v>59</v>
      </c>
      <c r="O50" s="31">
        <f t="shared" si="48"/>
        <v>1</v>
      </c>
      <c r="P50" s="30">
        <f t="shared" ref="P50:V50" si="61">P18</f>
        <v>1</v>
      </c>
      <c r="Q50" s="30">
        <f t="shared" si="61"/>
        <v>0</v>
      </c>
      <c r="R50" s="30">
        <f t="shared" si="61"/>
        <v>1</v>
      </c>
      <c r="S50" s="30">
        <f t="shared" si="61"/>
        <v>1</v>
      </c>
      <c r="T50" s="30">
        <f t="shared" si="61"/>
        <v>1</v>
      </c>
      <c r="U50" s="30">
        <f t="shared" si="61"/>
        <v>0</v>
      </c>
      <c r="V50" s="30">
        <f t="shared" si="61"/>
        <v>0</v>
      </c>
      <c r="W50" s="1">
        <v>1</v>
      </c>
      <c r="X50">
        <f t="shared" si="43"/>
        <v>1</v>
      </c>
      <c r="Y50" s="1">
        <v>1</v>
      </c>
      <c r="Z50">
        <f t="shared" si="44"/>
        <v>0</v>
      </c>
      <c r="AE50" s="15"/>
    </row>
    <row r="51" spans="2:41" ht="13" customHeight="1">
      <c r="B51">
        <f t="shared" si="35"/>
        <v>216</v>
      </c>
      <c r="C51" s="30">
        <f t="shared" ref="C51:G51" si="62">C19</f>
        <v>0</v>
      </c>
      <c r="D51" s="30">
        <f t="shared" si="62"/>
        <v>0</v>
      </c>
      <c r="E51" s="30">
        <f t="shared" si="62"/>
        <v>0</v>
      </c>
      <c r="F51" s="30">
        <f t="shared" si="62"/>
        <v>1</v>
      </c>
      <c r="G51" s="30">
        <f t="shared" si="62"/>
        <v>1</v>
      </c>
      <c r="H51" s="30">
        <f t="shared" ref="H51:J51" si="63">H19</f>
        <v>0</v>
      </c>
      <c r="I51" s="31">
        <f t="shared" ref="I51" si="64">IF(IF(I39,NOT(I19),I19),1,0)</f>
        <v>1</v>
      </c>
      <c r="J51" s="30">
        <f t="shared" si="63"/>
        <v>1</v>
      </c>
      <c r="K51" s="1">
        <v>4</v>
      </c>
      <c r="L51">
        <f t="shared" si="40"/>
        <v>1</v>
      </c>
      <c r="N51">
        <f t="shared" si="41"/>
        <v>103</v>
      </c>
      <c r="O51" s="31">
        <f t="shared" si="48"/>
        <v>1</v>
      </c>
      <c r="P51" s="30">
        <f t="shared" ref="P51:V51" si="65">P19</f>
        <v>1</v>
      </c>
      <c r="Q51" s="30">
        <f t="shared" si="65"/>
        <v>1</v>
      </c>
      <c r="R51" s="30">
        <f t="shared" si="65"/>
        <v>0</v>
      </c>
      <c r="S51" s="30">
        <f t="shared" si="65"/>
        <v>0</v>
      </c>
      <c r="T51" s="30">
        <f t="shared" si="65"/>
        <v>1</v>
      </c>
      <c r="U51" s="30">
        <f t="shared" si="65"/>
        <v>1</v>
      </c>
      <c r="V51" s="30">
        <f t="shared" si="65"/>
        <v>0</v>
      </c>
      <c r="W51" s="1">
        <v>0</v>
      </c>
      <c r="X51">
        <f t="shared" si="43"/>
        <v>1</v>
      </c>
      <c r="Y51" s="1">
        <v>0</v>
      </c>
      <c r="Z51">
        <f t="shared" si="44"/>
        <v>1</v>
      </c>
      <c r="AE51" s="4"/>
    </row>
    <row r="52" spans="2:41" ht="13" customHeight="1">
      <c r="B52">
        <f t="shared" si="35"/>
        <v>79</v>
      </c>
      <c r="C52" s="30">
        <f t="shared" ref="C52:G52" si="66">C20</f>
        <v>1</v>
      </c>
      <c r="D52" s="30">
        <f t="shared" si="66"/>
        <v>1</v>
      </c>
      <c r="E52" s="30">
        <f t="shared" si="66"/>
        <v>1</v>
      </c>
      <c r="F52" s="30">
        <f t="shared" si="66"/>
        <v>1</v>
      </c>
      <c r="G52" s="30">
        <f t="shared" si="66"/>
        <v>0</v>
      </c>
      <c r="H52" s="30">
        <f t="shared" ref="H52:J52" si="67">H20</f>
        <v>0</v>
      </c>
      <c r="I52" s="31">
        <f t="shared" ref="I52" si="68">IF(IF(I40,NOT(I20),I20),1,0)</f>
        <v>1</v>
      </c>
      <c r="J52" s="30">
        <f t="shared" si="67"/>
        <v>0</v>
      </c>
      <c r="K52" s="1">
        <v>5</v>
      </c>
      <c r="L52">
        <f t="shared" si="40"/>
        <v>0</v>
      </c>
      <c r="N52">
        <f t="shared" si="41"/>
        <v>102</v>
      </c>
      <c r="O52" s="31">
        <f t="shared" si="48"/>
        <v>0</v>
      </c>
      <c r="P52" s="30">
        <f t="shared" ref="P52:V52" si="69">P20</f>
        <v>1</v>
      </c>
      <c r="Q52" s="30">
        <f t="shared" si="69"/>
        <v>1</v>
      </c>
      <c r="R52" s="30">
        <f t="shared" si="69"/>
        <v>0</v>
      </c>
      <c r="S52" s="30">
        <f t="shared" si="69"/>
        <v>0</v>
      </c>
      <c r="T52" s="30">
        <f t="shared" si="69"/>
        <v>1</v>
      </c>
      <c r="U52" s="30">
        <f t="shared" si="69"/>
        <v>1</v>
      </c>
      <c r="V52" s="30">
        <f t="shared" si="69"/>
        <v>0</v>
      </c>
      <c r="W52" s="1">
        <v>7</v>
      </c>
      <c r="X52">
        <f t="shared" si="43"/>
        <v>0</v>
      </c>
      <c r="Y52" s="1">
        <v>1</v>
      </c>
      <c r="Z52">
        <f t="shared" si="44"/>
        <v>1</v>
      </c>
      <c r="AE52" s="15"/>
    </row>
    <row r="53" spans="2:41" ht="13" customHeight="1">
      <c r="B53">
        <f t="shared" si="35"/>
        <v>163</v>
      </c>
      <c r="C53" s="30">
        <f t="shared" ref="C53:G53" si="70">C21</f>
        <v>1</v>
      </c>
      <c r="D53" s="30">
        <f t="shared" si="70"/>
        <v>1</v>
      </c>
      <c r="E53" s="30">
        <f t="shared" si="70"/>
        <v>0</v>
      </c>
      <c r="F53" s="30">
        <f t="shared" si="70"/>
        <v>0</v>
      </c>
      <c r="G53" s="30">
        <f t="shared" si="70"/>
        <v>0</v>
      </c>
      <c r="H53" s="30">
        <f t="shared" ref="H53:J53" si="71">H21</f>
        <v>1</v>
      </c>
      <c r="I53" s="31">
        <f t="shared" ref="I53" si="72">IF(IF(I41,NOT(I21),I21),1,0)</f>
        <v>0</v>
      </c>
      <c r="J53" s="30">
        <f t="shared" si="71"/>
        <v>1</v>
      </c>
      <c r="K53" s="1">
        <v>1</v>
      </c>
      <c r="L53">
        <f t="shared" si="40"/>
        <v>1</v>
      </c>
      <c r="N53">
        <f t="shared" si="41"/>
        <v>7</v>
      </c>
      <c r="O53" s="31">
        <f t="shared" si="48"/>
        <v>1</v>
      </c>
      <c r="P53" s="30">
        <f t="shared" ref="P53:V53" si="73">P21</f>
        <v>1</v>
      </c>
      <c r="Q53" s="30">
        <f t="shared" si="73"/>
        <v>1</v>
      </c>
      <c r="R53" s="30">
        <f t="shared" si="73"/>
        <v>0</v>
      </c>
      <c r="S53" s="30">
        <f t="shared" si="73"/>
        <v>0</v>
      </c>
      <c r="T53" s="30">
        <f t="shared" si="73"/>
        <v>0</v>
      </c>
      <c r="U53" s="30">
        <f t="shared" si="73"/>
        <v>0</v>
      </c>
      <c r="V53" s="30">
        <f t="shared" si="73"/>
        <v>0</v>
      </c>
      <c r="W53" s="1">
        <v>1</v>
      </c>
      <c r="X53">
        <f t="shared" si="43"/>
        <v>1</v>
      </c>
      <c r="Y53" s="1">
        <v>0</v>
      </c>
      <c r="Z53">
        <f t="shared" si="44"/>
        <v>1</v>
      </c>
    </row>
    <row r="54" spans="2:41" ht="13" customHeight="1">
      <c r="L54">
        <f>BIN2DEC(reverse(_xlfn.CONCAT(L46:L53)))</f>
        <v>191</v>
      </c>
      <c r="X54">
        <f>BIN2DEC(reverse(_xlfn.CONCAT(X46:X53)))</f>
        <v>179</v>
      </c>
      <c r="Y54">
        <f>BIN2DEC(reverse(_xlfn.CONCAT(Y46:Y53)))</f>
        <v>81</v>
      </c>
      <c r="Z54">
        <f>BIN2DEC(reverse(_xlfn.CONCAT(Z46:Z53)))</f>
        <v>238</v>
      </c>
    </row>
    <row r="55" spans="2:41" ht="13" customHeight="1">
      <c r="B55" s="1" t="s">
        <v>185</v>
      </c>
      <c r="N55" s="1" t="s">
        <v>185</v>
      </c>
    </row>
    <row r="56" spans="2:41" ht="13" customHeight="1">
      <c r="B56">
        <f t="shared" ref="B56:B63" si="74">BIN2DEC(reverse(_xlfn.CONCAT(C56:J56)))</f>
        <v>197</v>
      </c>
      <c r="C56">
        <f t="shared" ref="C56:J63" si="75">IF(_xlfn.XOR(C$44,C46), 1, 0)</f>
        <v>1</v>
      </c>
      <c r="D56">
        <f t="shared" si="75"/>
        <v>0</v>
      </c>
      <c r="E56">
        <f t="shared" si="75"/>
        <v>1</v>
      </c>
      <c r="F56">
        <f t="shared" si="75"/>
        <v>0</v>
      </c>
      <c r="G56">
        <f t="shared" si="75"/>
        <v>0</v>
      </c>
      <c r="H56">
        <f t="shared" si="75"/>
        <v>0</v>
      </c>
      <c r="I56">
        <f t="shared" si="75"/>
        <v>1</v>
      </c>
      <c r="J56">
        <f t="shared" si="75"/>
        <v>1</v>
      </c>
      <c r="K56">
        <f t="shared" ref="K56:K63" si="76">COUNTIF(C56:J56,1)</f>
        <v>4</v>
      </c>
      <c r="N56">
        <f t="shared" ref="N56:N63" si="77">BIN2DEC(reverse(_xlfn.CONCAT(O56:V56)))</f>
        <v>110</v>
      </c>
      <c r="O56">
        <f>IF(_xlfn.XOR(O$44,O46), 1, 0)</f>
        <v>0</v>
      </c>
      <c r="P56">
        <f t="shared" ref="O56:V63" si="78">IF(_xlfn.XOR(P$44,P46), 1, 0)</f>
        <v>1</v>
      </c>
      <c r="Q56">
        <f t="shared" si="78"/>
        <v>1</v>
      </c>
      <c r="R56">
        <f t="shared" si="78"/>
        <v>1</v>
      </c>
      <c r="S56">
        <f t="shared" si="78"/>
        <v>0</v>
      </c>
      <c r="T56">
        <f t="shared" si="78"/>
        <v>1</v>
      </c>
      <c r="U56">
        <f t="shared" si="78"/>
        <v>1</v>
      </c>
      <c r="V56">
        <f t="shared" si="78"/>
        <v>0</v>
      </c>
      <c r="W56">
        <f t="shared" ref="W56:W63" si="79">COUNTIF(O56:V56,1)</f>
        <v>5</v>
      </c>
    </row>
    <row r="57" spans="2:41" ht="13" customHeight="1">
      <c r="B57">
        <f t="shared" si="74"/>
        <v>173</v>
      </c>
      <c r="C57">
        <f t="shared" si="75"/>
        <v>1</v>
      </c>
      <c r="D57">
        <f t="shared" si="75"/>
        <v>0</v>
      </c>
      <c r="E57">
        <f t="shared" si="75"/>
        <v>1</v>
      </c>
      <c r="F57">
        <f t="shared" si="75"/>
        <v>1</v>
      </c>
      <c r="G57">
        <f t="shared" si="75"/>
        <v>0</v>
      </c>
      <c r="H57">
        <f t="shared" si="75"/>
        <v>1</v>
      </c>
      <c r="I57">
        <f t="shared" si="75"/>
        <v>0</v>
      </c>
      <c r="J57">
        <f t="shared" si="75"/>
        <v>1</v>
      </c>
      <c r="K57">
        <f t="shared" si="76"/>
        <v>5</v>
      </c>
      <c r="N57">
        <f t="shared" si="77"/>
        <v>125</v>
      </c>
      <c r="O57">
        <f t="shared" si="78"/>
        <v>1</v>
      </c>
      <c r="P57">
        <f t="shared" si="78"/>
        <v>0</v>
      </c>
      <c r="Q57">
        <f t="shared" si="78"/>
        <v>1</v>
      </c>
      <c r="R57">
        <f t="shared" si="78"/>
        <v>1</v>
      </c>
      <c r="S57">
        <f t="shared" si="78"/>
        <v>1</v>
      </c>
      <c r="T57">
        <f t="shared" si="78"/>
        <v>1</v>
      </c>
      <c r="U57">
        <f t="shared" si="78"/>
        <v>1</v>
      </c>
      <c r="V57">
        <f t="shared" si="78"/>
        <v>0</v>
      </c>
      <c r="W57">
        <f t="shared" si="79"/>
        <v>6</v>
      </c>
      <c r="AL57" s="23"/>
    </row>
    <row r="58" spans="2:41" ht="13" customHeight="1">
      <c r="B58">
        <f t="shared" si="74"/>
        <v>179</v>
      </c>
      <c r="C58">
        <f t="shared" si="75"/>
        <v>1</v>
      </c>
      <c r="D58">
        <f t="shared" si="75"/>
        <v>1</v>
      </c>
      <c r="E58">
        <f t="shared" si="75"/>
        <v>0</v>
      </c>
      <c r="F58">
        <f t="shared" si="75"/>
        <v>0</v>
      </c>
      <c r="G58">
        <f t="shared" si="75"/>
        <v>1</v>
      </c>
      <c r="H58">
        <f t="shared" si="75"/>
        <v>1</v>
      </c>
      <c r="I58">
        <f t="shared" si="75"/>
        <v>0</v>
      </c>
      <c r="J58">
        <f t="shared" si="75"/>
        <v>1</v>
      </c>
      <c r="K58">
        <f t="shared" si="76"/>
        <v>5</v>
      </c>
      <c r="N58">
        <f t="shared" si="77"/>
        <v>112</v>
      </c>
      <c r="O58">
        <f t="shared" si="78"/>
        <v>0</v>
      </c>
      <c r="P58">
        <f t="shared" si="78"/>
        <v>0</v>
      </c>
      <c r="Q58">
        <f t="shared" si="78"/>
        <v>0</v>
      </c>
      <c r="R58">
        <f t="shared" si="78"/>
        <v>0</v>
      </c>
      <c r="S58">
        <f t="shared" si="78"/>
        <v>1</v>
      </c>
      <c r="T58">
        <f t="shared" si="78"/>
        <v>1</v>
      </c>
      <c r="U58">
        <f t="shared" si="78"/>
        <v>1</v>
      </c>
      <c r="V58">
        <f t="shared" si="78"/>
        <v>0</v>
      </c>
      <c r="W58">
        <f t="shared" si="79"/>
        <v>3</v>
      </c>
      <c r="AL58" s="23"/>
    </row>
    <row r="59" spans="2:41" ht="13" customHeight="1">
      <c r="B59">
        <f t="shared" si="74"/>
        <v>125</v>
      </c>
      <c r="C59">
        <f t="shared" si="75"/>
        <v>1</v>
      </c>
      <c r="D59">
        <f t="shared" si="75"/>
        <v>0</v>
      </c>
      <c r="E59">
        <f t="shared" si="75"/>
        <v>1</v>
      </c>
      <c r="F59">
        <f t="shared" si="75"/>
        <v>1</v>
      </c>
      <c r="G59">
        <f t="shared" si="75"/>
        <v>1</v>
      </c>
      <c r="H59">
        <f t="shared" si="75"/>
        <v>1</v>
      </c>
      <c r="I59">
        <f t="shared" si="75"/>
        <v>1</v>
      </c>
      <c r="J59">
        <f t="shared" si="75"/>
        <v>0</v>
      </c>
      <c r="K59">
        <f t="shared" si="76"/>
        <v>6</v>
      </c>
      <c r="N59">
        <f t="shared" si="77"/>
        <v>37</v>
      </c>
      <c r="O59">
        <f t="shared" si="78"/>
        <v>1</v>
      </c>
      <c r="P59">
        <f t="shared" si="78"/>
        <v>0</v>
      </c>
      <c r="Q59">
        <f t="shared" si="78"/>
        <v>1</v>
      </c>
      <c r="R59">
        <f t="shared" si="78"/>
        <v>0</v>
      </c>
      <c r="S59">
        <f t="shared" si="78"/>
        <v>0</v>
      </c>
      <c r="T59">
        <f t="shared" si="78"/>
        <v>1</v>
      </c>
      <c r="U59">
        <f t="shared" si="78"/>
        <v>0</v>
      </c>
      <c r="V59">
        <f t="shared" si="78"/>
        <v>0</v>
      </c>
      <c r="W59">
        <f t="shared" si="79"/>
        <v>3</v>
      </c>
      <c r="AL59" s="23"/>
    </row>
    <row r="60" spans="2:41" ht="13" customHeight="1">
      <c r="B60">
        <f t="shared" si="74"/>
        <v>31</v>
      </c>
      <c r="C60">
        <f t="shared" si="75"/>
        <v>1</v>
      </c>
      <c r="D60">
        <f t="shared" si="75"/>
        <v>1</v>
      </c>
      <c r="E60">
        <f t="shared" si="75"/>
        <v>1</v>
      </c>
      <c r="F60">
        <f t="shared" si="75"/>
        <v>1</v>
      </c>
      <c r="G60">
        <f t="shared" si="75"/>
        <v>1</v>
      </c>
      <c r="H60">
        <f t="shared" si="75"/>
        <v>0</v>
      </c>
      <c r="I60">
        <f t="shared" si="75"/>
        <v>0</v>
      </c>
      <c r="J60">
        <f t="shared" si="75"/>
        <v>0</v>
      </c>
      <c r="K60">
        <f t="shared" si="76"/>
        <v>5</v>
      </c>
      <c r="N60">
        <f t="shared" si="77"/>
        <v>132</v>
      </c>
      <c r="O60">
        <f t="shared" si="78"/>
        <v>0</v>
      </c>
      <c r="P60">
        <f t="shared" si="78"/>
        <v>0</v>
      </c>
      <c r="Q60">
        <f t="shared" si="78"/>
        <v>1</v>
      </c>
      <c r="R60">
        <f t="shared" si="78"/>
        <v>0</v>
      </c>
      <c r="S60">
        <f t="shared" si="78"/>
        <v>0</v>
      </c>
      <c r="T60">
        <f t="shared" si="78"/>
        <v>0</v>
      </c>
      <c r="U60">
        <f t="shared" si="78"/>
        <v>0</v>
      </c>
      <c r="V60">
        <f t="shared" si="78"/>
        <v>1</v>
      </c>
      <c r="W60">
        <f t="shared" si="79"/>
        <v>2</v>
      </c>
      <c r="AK60" s="2"/>
      <c r="AL60" s="12"/>
    </row>
    <row r="61" spans="2:41" ht="13" customHeight="1">
      <c r="B61">
        <f t="shared" si="74"/>
        <v>223</v>
      </c>
      <c r="C61">
        <f t="shared" si="75"/>
        <v>1</v>
      </c>
      <c r="D61">
        <f t="shared" si="75"/>
        <v>1</v>
      </c>
      <c r="E61">
        <f t="shared" si="75"/>
        <v>1</v>
      </c>
      <c r="F61">
        <f t="shared" si="75"/>
        <v>1</v>
      </c>
      <c r="G61">
        <f t="shared" si="75"/>
        <v>1</v>
      </c>
      <c r="H61">
        <f t="shared" si="75"/>
        <v>0</v>
      </c>
      <c r="I61">
        <f t="shared" si="75"/>
        <v>1</v>
      </c>
      <c r="J61">
        <f t="shared" si="75"/>
        <v>1</v>
      </c>
      <c r="K61">
        <f t="shared" si="76"/>
        <v>7</v>
      </c>
      <c r="N61">
        <f t="shared" si="77"/>
        <v>216</v>
      </c>
      <c r="O61">
        <f t="shared" si="78"/>
        <v>0</v>
      </c>
      <c r="P61">
        <f t="shared" si="78"/>
        <v>0</v>
      </c>
      <c r="Q61">
        <f t="shared" si="78"/>
        <v>0</v>
      </c>
      <c r="R61">
        <f t="shared" si="78"/>
        <v>1</v>
      </c>
      <c r="S61">
        <f t="shared" si="78"/>
        <v>1</v>
      </c>
      <c r="T61">
        <f t="shared" si="78"/>
        <v>0</v>
      </c>
      <c r="U61">
        <f t="shared" si="78"/>
        <v>1</v>
      </c>
      <c r="V61">
        <f t="shared" si="78"/>
        <v>1</v>
      </c>
      <c r="W61">
        <f t="shared" si="79"/>
        <v>4</v>
      </c>
      <c r="AK61" s="2"/>
      <c r="AL61" s="12"/>
    </row>
    <row r="62" spans="2:41" ht="13" customHeight="1">
      <c r="B62">
        <f t="shared" si="74"/>
        <v>72</v>
      </c>
      <c r="C62">
        <f t="shared" si="75"/>
        <v>0</v>
      </c>
      <c r="D62">
        <f t="shared" si="75"/>
        <v>0</v>
      </c>
      <c r="E62">
        <f t="shared" si="75"/>
        <v>0</v>
      </c>
      <c r="F62">
        <f t="shared" si="75"/>
        <v>1</v>
      </c>
      <c r="G62">
        <f t="shared" si="75"/>
        <v>0</v>
      </c>
      <c r="H62">
        <f t="shared" si="75"/>
        <v>0</v>
      </c>
      <c r="I62">
        <f t="shared" si="75"/>
        <v>1</v>
      </c>
      <c r="J62">
        <f t="shared" si="75"/>
        <v>0</v>
      </c>
      <c r="K62">
        <f t="shared" si="76"/>
        <v>2</v>
      </c>
      <c r="N62">
        <f t="shared" si="77"/>
        <v>217</v>
      </c>
      <c r="O62">
        <f t="shared" si="78"/>
        <v>1</v>
      </c>
      <c r="P62">
        <f t="shared" si="78"/>
        <v>0</v>
      </c>
      <c r="Q62">
        <f t="shared" si="78"/>
        <v>0</v>
      </c>
      <c r="R62">
        <f t="shared" si="78"/>
        <v>1</v>
      </c>
      <c r="S62">
        <f t="shared" si="78"/>
        <v>1</v>
      </c>
      <c r="T62">
        <f t="shared" si="78"/>
        <v>0</v>
      </c>
      <c r="U62">
        <f t="shared" si="78"/>
        <v>1</v>
      </c>
      <c r="V62">
        <f t="shared" si="78"/>
        <v>1</v>
      </c>
      <c r="W62">
        <f t="shared" si="79"/>
        <v>5</v>
      </c>
      <c r="AG62" s="36" t="s">
        <v>201</v>
      </c>
      <c r="AH62" t="s">
        <v>202</v>
      </c>
      <c r="AI62" t="s">
        <v>203</v>
      </c>
      <c r="AJ62" t="s">
        <v>204</v>
      </c>
      <c r="AK62" s="2" t="s">
        <v>205</v>
      </c>
      <c r="AL62" s="12" t="s">
        <v>206</v>
      </c>
      <c r="AM62" t="s">
        <v>207</v>
      </c>
      <c r="AN62" t="s">
        <v>202</v>
      </c>
      <c r="AO62" t="s">
        <v>202</v>
      </c>
    </row>
    <row r="63" spans="2:41" ht="13" customHeight="1">
      <c r="B63">
        <f t="shared" si="74"/>
        <v>164</v>
      </c>
      <c r="C63">
        <f t="shared" si="75"/>
        <v>0</v>
      </c>
      <c r="D63">
        <f t="shared" si="75"/>
        <v>0</v>
      </c>
      <c r="E63">
        <f t="shared" si="75"/>
        <v>1</v>
      </c>
      <c r="F63">
        <f t="shared" si="75"/>
        <v>0</v>
      </c>
      <c r="G63">
        <f t="shared" si="75"/>
        <v>0</v>
      </c>
      <c r="H63">
        <f t="shared" si="75"/>
        <v>1</v>
      </c>
      <c r="I63">
        <f t="shared" si="75"/>
        <v>0</v>
      </c>
      <c r="J63">
        <f t="shared" si="75"/>
        <v>1</v>
      </c>
      <c r="K63">
        <f t="shared" si="76"/>
        <v>3</v>
      </c>
      <c r="N63">
        <f t="shared" si="77"/>
        <v>184</v>
      </c>
      <c r="O63">
        <f t="shared" si="78"/>
        <v>0</v>
      </c>
      <c r="P63">
        <f t="shared" si="78"/>
        <v>0</v>
      </c>
      <c r="Q63">
        <f t="shared" si="78"/>
        <v>0</v>
      </c>
      <c r="R63">
        <f t="shared" si="78"/>
        <v>1</v>
      </c>
      <c r="S63">
        <f t="shared" si="78"/>
        <v>1</v>
      </c>
      <c r="T63">
        <f t="shared" si="78"/>
        <v>1</v>
      </c>
      <c r="U63">
        <f t="shared" si="78"/>
        <v>0</v>
      </c>
      <c r="V63">
        <f t="shared" si="78"/>
        <v>1</v>
      </c>
      <c r="W63">
        <f t="shared" si="79"/>
        <v>4</v>
      </c>
      <c r="AG63" s="36" t="s">
        <v>195</v>
      </c>
      <c r="AH63" t="s">
        <v>196</v>
      </c>
      <c r="AI63" t="s">
        <v>197</v>
      </c>
      <c r="AJ63" t="s">
        <v>198</v>
      </c>
      <c r="AK63" t="s">
        <v>199</v>
      </c>
      <c r="AL63" t="s">
        <v>200</v>
      </c>
      <c r="AM63" t="s">
        <v>196</v>
      </c>
      <c r="AN63" t="s">
        <v>196</v>
      </c>
      <c r="AO63" t="s">
        <v>196</v>
      </c>
    </row>
    <row r="64" spans="2:41" ht="13" customHeight="1">
      <c r="AH64">
        <v>149</v>
      </c>
      <c r="AI64" s="36" t="s">
        <v>211</v>
      </c>
      <c r="AJ64" s="32">
        <v>165</v>
      </c>
      <c r="AK64" s="32">
        <v>133</v>
      </c>
      <c r="AL64" s="32">
        <f t="shared" ref="AL64:AO64" si="80">AL62*1</f>
        <v>59</v>
      </c>
      <c r="AM64" s="32">
        <f t="shared" si="80"/>
        <v>85</v>
      </c>
      <c r="AN64" s="32">
        <f t="shared" si="80"/>
        <v>193</v>
      </c>
      <c r="AO64" s="32">
        <f t="shared" si="80"/>
        <v>193</v>
      </c>
    </row>
    <row r="65" spans="1:43" ht="13" customHeight="1">
      <c r="N65" s="1" t="s">
        <v>86</v>
      </c>
      <c r="W65" s="1" t="s">
        <v>87</v>
      </c>
      <c r="X65" s="1" t="s">
        <v>88</v>
      </c>
      <c r="Y65" s="1" t="s">
        <v>89</v>
      </c>
    </row>
    <row r="66" spans="1:43" ht="13" customHeight="1">
      <c r="N66">
        <f t="shared" ref="N66:N73" si="81">BIN2DEC(reverse(_xlfn.CONCAT(O66:V66)))</f>
        <v>0</v>
      </c>
      <c r="O66">
        <f t="shared" ref="O66:V73" si="82">IF(AND($Y66,(_xlfn.XOR(O56,NOT($X46)))),1,0)</f>
        <v>0</v>
      </c>
      <c r="P66">
        <f t="shared" si="82"/>
        <v>0</v>
      </c>
      <c r="Q66">
        <f t="shared" si="82"/>
        <v>0</v>
      </c>
      <c r="R66">
        <f t="shared" si="82"/>
        <v>0</v>
      </c>
      <c r="S66">
        <f t="shared" si="82"/>
        <v>0</v>
      </c>
      <c r="T66">
        <f t="shared" si="82"/>
        <v>0</v>
      </c>
      <c r="U66">
        <f t="shared" si="82"/>
        <v>0</v>
      </c>
      <c r="V66">
        <f t="shared" si="82"/>
        <v>0</v>
      </c>
      <c r="W66">
        <f t="shared" ref="W66:W73" si="83">W46+X66</f>
        <v>3</v>
      </c>
      <c r="X66" s="22">
        <f t="shared" ref="X66:X73" si="84">IF(X46,Y66,Y66*(-1))</f>
        <v>0</v>
      </c>
      <c r="Y66">
        <v>0</v>
      </c>
      <c r="AG66" s="32"/>
      <c r="AH66" t="s">
        <v>189</v>
      </c>
      <c r="AI66" t="s">
        <v>190</v>
      </c>
      <c r="AJ66" t="s">
        <v>191</v>
      </c>
      <c r="AK66" t="s">
        <v>192</v>
      </c>
      <c r="AL66" t="s">
        <v>193</v>
      </c>
      <c r="AM66" t="s">
        <v>194</v>
      </c>
      <c r="AN66" t="s">
        <v>189</v>
      </c>
      <c r="AO66" t="s">
        <v>189</v>
      </c>
    </row>
    <row r="67" spans="1:43" ht="13" customHeight="1">
      <c r="N67">
        <f t="shared" si="81"/>
        <v>125</v>
      </c>
      <c r="O67">
        <f t="shared" si="82"/>
        <v>1</v>
      </c>
      <c r="P67">
        <f t="shared" si="82"/>
        <v>0</v>
      </c>
      <c r="Q67">
        <f t="shared" si="82"/>
        <v>1</v>
      </c>
      <c r="R67">
        <f t="shared" si="82"/>
        <v>1</v>
      </c>
      <c r="S67">
        <f t="shared" si="82"/>
        <v>1</v>
      </c>
      <c r="T67">
        <f t="shared" si="82"/>
        <v>1</v>
      </c>
      <c r="U67">
        <f t="shared" si="82"/>
        <v>1</v>
      </c>
      <c r="V67">
        <f t="shared" si="82"/>
        <v>0</v>
      </c>
      <c r="W67">
        <f t="shared" si="83"/>
        <v>7</v>
      </c>
      <c r="X67" s="22">
        <f t="shared" si="84"/>
        <v>1</v>
      </c>
      <c r="Y67">
        <v>1</v>
      </c>
      <c r="AF67" t="str">
        <f t="array" ref="AF67:AF74">TRANSPOSE(AH63:AO63)</f>
        <v>7</v>
      </c>
      <c r="AG67">
        <f t="array" ref="AG67:AG74">TRANSPOSE(AH64:AO64)</f>
        <v>149</v>
      </c>
      <c r="AH67" t="str">
        <f>DEC2BIN(AG67,8)</f>
        <v>10010101</v>
      </c>
      <c r="AI67" t="str">
        <f>reverse(AH67)</f>
        <v>10101001</v>
      </c>
      <c r="AJ67" s="10" t="str">
        <f>MID($AI67, COLUMNS($AI$67:AI$67), 1)</f>
        <v>1</v>
      </c>
      <c r="AK67" s="10" t="str">
        <f>MID($AI67, COLUMNS($AI$67:AJ$67), 1)</f>
        <v>0</v>
      </c>
      <c r="AL67" s="10" t="str">
        <f>MID($AI67, COLUMNS($AI$67:AK$67), 1)</f>
        <v>1</v>
      </c>
      <c r="AM67" s="10" t="str">
        <f>MID($AI67, COLUMNS($AI$67:AL$67), 1)</f>
        <v>0</v>
      </c>
      <c r="AN67" s="10" t="str">
        <f>MID($AI67, COLUMNS($AI$67:AM$67), 1)</f>
        <v>1</v>
      </c>
      <c r="AO67" s="10" t="str">
        <f>MID($AI67, COLUMNS($AI$67:AN$67), 1)</f>
        <v>0</v>
      </c>
      <c r="AP67" s="10" t="str">
        <f>MID($AI67, COLUMNS($AI$67:AO$67), 1)</f>
        <v>0</v>
      </c>
      <c r="AQ67" s="10" t="str">
        <f>MID($AI67, COLUMNS($AI$67:AP$67), 1)</f>
        <v>1</v>
      </c>
    </row>
    <row r="68" spans="1:43" ht="13" customHeight="1">
      <c r="M68" s="22"/>
      <c r="N68">
        <f t="shared" si="81"/>
        <v>143</v>
      </c>
      <c r="O68">
        <f t="shared" si="82"/>
        <v>1</v>
      </c>
      <c r="P68">
        <f t="shared" si="82"/>
        <v>1</v>
      </c>
      <c r="Q68">
        <f t="shared" si="82"/>
        <v>1</v>
      </c>
      <c r="R68">
        <f t="shared" si="82"/>
        <v>1</v>
      </c>
      <c r="S68">
        <f t="shared" si="82"/>
        <v>0</v>
      </c>
      <c r="T68">
        <f t="shared" si="82"/>
        <v>0</v>
      </c>
      <c r="U68">
        <f t="shared" si="82"/>
        <v>0</v>
      </c>
      <c r="V68">
        <f t="shared" si="82"/>
        <v>1</v>
      </c>
      <c r="W68">
        <f t="shared" si="83"/>
        <v>3</v>
      </c>
      <c r="X68" s="22">
        <f t="shared" si="84"/>
        <v>-1</v>
      </c>
      <c r="Y68">
        <v>1</v>
      </c>
      <c r="AF68" s="32" t="str">
        <v>0</v>
      </c>
      <c r="AG68" s="32" t="str">
        <v> </v>
      </c>
      <c r="AH68" s="32" t="e">
        <f t="shared" ref="AH68:AH74" si="85">DEC2BIN(AG68,8)</f>
        <v>#VALUE!</v>
      </c>
      <c r="AI68" s="32" t="e">
        <f t="shared" ref="AI68:AI74" si="86">reverse(AH68)</f>
        <v>#VALUE!</v>
      </c>
      <c r="AJ68" s="10" t="e">
        <f>MID($AI68, COLUMNS($AI$67:AI$67), 1)</f>
        <v>#VALUE!</v>
      </c>
      <c r="AK68" s="10" t="e">
        <f>MID($AI68, COLUMNS($AI$67:AJ$67), 1)</f>
        <v>#VALUE!</v>
      </c>
      <c r="AL68" s="10" t="e">
        <f>MID($AI68, COLUMNS($AI$67:AK$67), 1)</f>
        <v>#VALUE!</v>
      </c>
      <c r="AM68" s="10" t="e">
        <f>MID($AI68, COLUMNS($AI$67:AL$67), 1)</f>
        <v>#VALUE!</v>
      </c>
      <c r="AN68" s="10" t="e">
        <f>MID($AI68, COLUMNS($AI$67:AM$67), 1)</f>
        <v>#VALUE!</v>
      </c>
      <c r="AO68" s="10" t="e">
        <f>MID($AI68, COLUMNS($AI$67:AN$67), 1)</f>
        <v>#VALUE!</v>
      </c>
      <c r="AP68" s="10" t="e">
        <f>MID($AI68, COLUMNS($AI$67:AO$67), 1)</f>
        <v>#VALUE!</v>
      </c>
      <c r="AQ68" s="10" t="e">
        <f>MID($AI68, COLUMNS($AI$67:AP$67), 1)</f>
        <v>#VALUE!</v>
      </c>
    </row>
    <row r="69" spans="1:43" ht="13" customHeight="1">
      <c r="M69" s="22"/>
      <c r="N69">
        <f t="shared" si="81"/>
        <v>218</v>
      </c>
      <c r="O69">
        <f t="shared" si="82"/>
        <v>0</v>
      </c>
      <c r="P69">
        <f t="shared" si="82"/>
        <v>1</v>
      </c>
      <c r="Q69">
        <f t="shared" si="82"/>
        <v>0</v>
      </c>
      <c r="R69">
        <f t="shared" si="82"/>
        <v>1</v>
      </c>
      <c r="S69">
        <f t="shared" si="82"/>
        <v>1</v>
      </c>
      <c r="T69">
        <f t="shared" si="82"/>
        <v>0</v>
      </c>
      <c r="U69">
        <f t="shared" si="82"/>
        <v>1</v>
      </c>
      <c r="V69">
        <f t="shared" si="82"/>
        <v>1</v>
      </c>
      <c r="W69">
        <f t="shared" si="83"/>
        <v>4</v>
      </c>
      <c r="X69" s="22">
        <f t="shared" si="84"/>
        <v>-1</v>
      </c>
      <c r="Y69">
        <v>1</v>
      </c>
      <c r="AF69" s="32" t="str">
        <v>5</v>
      </c>
      <c r="AG69" s="32">
        <v>165</v>
      </c>
      <c r="AH69" s="32" t="str">
        <f t="shared" si="85"/>
        <v>10100101</v>
      </c>
      <c r="AI69" s="32" t="str">
        <f t="shared" si="86"/>
        <v>10100101</v>
      </c>
      <c r="AJ69" s="10" t="str">
        <f>MID($AI69, COLUMNS($AI$67:AI$67), 1)</f>
        <v>1</v>
      </c>
      <c r="AK69" s="10" t="str">
        <f>MID($AI69, COLUMNS($AI$67:AJ$67), 1)</f>
        <v>0</v>
      </c>
      <c r="AL69" s="10" t="str">
        <f>MID($AI69, COLUMNS($AI$67:AK$67), 1)</f>
        <v>1</v>
      </c>
      <c r="AM69" s="10" t="str">
        <f>MID($AI69, COLUMNS($AI$67:AL$67), 1)</f>
        <v>0</v>
      </c>
      <c r="AN69" s="10" t="str">
        <f>MID($AI69, COLUMNS($AI$67:AM$67), 1)</f>
        <v>0</v>
      </c>
      <c r="AO69" s="10" t="str">
        <f>MID($AI69, COLUMNS($AI$67:AN$67), 1)</f>
        <v>1</v>
      </c>
      <c r="AP69" s="10" t="str">
        <f>MID($AI69, COLUMNS($AI$67:AO$67), 1)</f>
        <v>0</v>
      </c>
      <c r="AQ69" s="10" t="str">
        <f>MID($AI69, COLUMNS($AI$67:AP$67), 1)</f>
        <v>1</v>
      </c>
    </row>
    <row r="70" spans="1:43" ht="13" customHeight="1">
      <c r="M70" s="22"/>
      <c r="N70">
        <f t="shared" si="81"/>
        <v>0</v>
      </c>
      <c r="O70">
        <f t="shared" si="82"/>
        <v>0</v>
      </c>
      <c r="P70">
        <f t="shared" si="82"/>
        <v>0</v>
      </c>
      <c r="Q70">
        <f t="shared" si="82"/>
        <v>0</v>
      </c>
      <c r="R70">
        <f t="shared" si="82"/>
        <v>0</v>
      </c>
      <c r="S70">
        <f t="shared" si="82"/>
        <v>0</v>
      </c>
      <c r="T70">
        <f t="shared" si="82"/>
        <v>0</v>
      </c>
      <c r="U70">
        <f t="shared" si="82"/>
        <v>0</v>
      </c>
      <c r="V70">
        <f t="shared" si="82"/>
        <v>0</v>
      </c>
      <c r="W70">
        <f t="shared" si="83"/>
        <v>1</v>
      </c>
      <c r="X70" s="22">
        <f t="shared" si="84"/>
        <v>0</v>
      </c>
      <c r="Y70">
        <v>0</v>
      </c>
      <c r="AF70" s="32" t="str">
        <v>3</v>
      </c>
      <c r="AG70" s="32">
        <v>133</v>
      </c>
      <c r="AH70" s="32" t="str">
        <f t="shared" si="85"/>
        <v>10000101</v>
      </c>
      <c r="AI70" s="32" t="str">
        <f t="shared" si="86"/>
        <v>10100001</v>
      </c>
      <c r="AJ70" s="10" t="str">
        <f>MID($AI70, COLUMNS($AI$67:AI$67), 1)</f>
        <v>1</v>
      </c>
      <c r="AK70" s="10" t="str">
        <f>MID($AI70, COLUMNS($AI$67:AJ$67), 1)</f>
        <v>0</v>
      </c>
      <c r="AL70" s="10" t="str">
        <f>MID($AI70, COLUMNS($AI$67:AK$67), 1)</f>
        <v>1</v>
      </c>
      <c r="AM70" s="10" t="str">
        <f>MID($AI70, COLUMNS($AI$67:AL$67), 1)</f>
        <v>0</v>
      </c>
      <c r="AN70" s="10" t="str">
        <f>MID($AI70, COLUMNS($AI$67:AM$67), 1)</f>
        <v>0</v>
      </c>
      <c r="AO70" s="10" t="str">
        <f>MID($AI70, COLUMNS($AI$67:AN$67), 1)</f>
        <v>0</v>
      </c>
      <c r="AP70" s="10" t="str">
        <f>MID($AI70, COLUMNS($AI$67:AO$67), 1)</f>
        <v>0</v>
      </c>
      <c r="AQ70" s="10" t="str">
        <f>MID($AI70, COLUMNS($AI$67:AP$67), 1)</f>
        <v>1</v>
      </c>
    </row>
    <row r="71" spans="1:43" ht="13" customHeight="1">
      <c r="M71" s="22"/>
      <c r="N71">
        <f t="shared" si="81"/>
        <v>216</v>
      </c>
      <c r="O71">
        <f t="shared" si="82"/>
        <v>0</v>
      </c>
      <c r="P71">
        <f t="shared" si="82"/>
        <v>0</v>
      </c>
      <c r="Q71">
        <f t="shared" si="82"/>
        <v>0</v>
      </c>
      <c r="R71">
        <f t="shared" si="82"/>
        <v>1</v>
      </c>
      <c r="S71">
        <f t="shared" si="82"/>
        <v>1</v>
      </c>
      <c r="T71">
        <f t="shared" si="82"/>
        <v>0</v>
      </c>
      <c r="U71">
        <f t="shared" si="82"/>
        <v>1</v>
      </c>
      <c r="V71">
        <f t="shared" si="82"/>
        <v>1</v>
      </c>
      <c r="W71">
        <f t="shared" si="83"/>
        <v>1</v>
      </c>
      <c r="X71" s="22">
        <f t="shared" si="84"/>
        <v>1</v>
      </c>
      <c r="Y71">
        <v>1</v>
      </c>
      <c r="AF71" s="32" t="str">
        <v>6</v>
      </c>
      <c r="AG71" s="32">
        <v>59</v>
      </c>
      <c r="AH71" s="32" t="str">
        <f t="shared" si="85"/>
        <v>00111011</v>
      </c>
      <c r="AI71" s="32" t="str">
        <f t="shared" si="86"/>
        <v>11011100</v>
      </c>
      <c r="AJ71" s="10" t="str">
        <f>MID($AI71, COLUMNS($AI$67:AI$67), 1)</f>
        <v>1</v>
      </c>
      <c r="AK71" s="10" t="str">
        <f>MID($AI71, COLUMNS($AI$67:AJ$67), 1)</f>
        <v>1</v>
      </c>
      <c r="AL71" s="10" t="str">
        <f>MID($AI71, COLUMNS($AI$67:AK$67), 1)</f>
        <v>0</v>
      </c>
      <c r="AM71" s="10" t="str">
        <f>MID($AI71, COLUMNS($AI$67:AL$67), 1)</f>
        <v>1</v>
      </c>
      <c r="AN71" s="10" t="str">
        <f>MID($AI71, COLUMNS($AI$67:AM$67), 1)</f>
        <v>1</v>
      </c>
      <c r="AO71" s="10" t="str">
        <f>MID($AI71, COLUMNS($AI$67:AN$67), 1)</f>
        <v>1</v>
      </c>
      <c r="AP71" s="10" t="str">
        <f>MID($AI71, COLUMNS($AI$67:AO$67), 1)</f>
        <v>0</v>
      </c>
      <c r="AQ71" s="10" t="str">
        <f>MID($AI71, COLUMNS($AI$67:AP$67), 1)</f>
        <v>0</v>
      </c>
    </row>
    <row r="72" spans="1:43" ht="13" customHeight="1">
      <c r="M72" s="22"/>
      <c r="N72">
        <f t="shared" si="81"/>
        <v>38</v>
      </c>
      <c r="O72">
        <f t="shared" si="82"/>
        <v>0</v>
      </c>
      <c r="P72">
        <f t="shared" si="82"/>
        <v>1</v>
      </c>
      <c r="Q72">
        <f t="shared" si="82"/>
        <v>1</v>
      </c>
      <c r="R72">
        <f t="shared" si="82"/>
        <v>0</v>
      </c>
      <c r="S72">
        <f t="shared" si="82"/>
        <v>0</v>
      </c>
      <c r="T72">
        <f t="shared" si="82"/>
        <v>1</v>
      </c>
      <c r="U72">
        <f t="shared" si="82"/>
        <v>0</v>
      </c>
      <c r="V72">
        <f t="shared" si="82"/>
        <v>0</v>
      </c>
      <c r="W72">
        <f t="shared" si="83"/>
        <v>6</v>
      </c>
      <c r="X72" s="22">
        <f t="shared" si="84"/>
        <v>-1</v>
      </c>
      <c r="Y72">
        <v>1</v>
      </c>
      <c r="AF72" s="32" t="str">
        <v>7</v>
      </c>
      <c r="AG72" s="32">
        <v>85</v>
      </c>
      <c r="AH72" s="32" t="str">
        <f t="shared" si="85"/>
        <v>01010101</v>
      </c>
      <c r="AI72" s="32" t="str">
        <f t="shared" si="86"/>
        <v>10101010</v>
      </c>
      <c r="AJ72" s="10" t="str">
        <f>MID($AI72, COLUMNS($AI$67:AI$67), 1)</f>
        <v>1</v>
      </c>
      <c r="AK72" s="10" t="str">
        <f>MID($AI72, COLUMNS($AI$67:AJ$67), 1)</f>
        <v>0</v>
      </c>
      <c r="AL72" s="10" t="str">
        <f>MID($AI72, COLUMNS($AI$67:AK$67), 1)</f>
        <v>1</v>
      </c>
      <c r="AM72" s="10" t="str">
        <f>MID($AI72, COLUMNS($AI$67:AL$67), 1)</f>
        <v>0</v>
      </c>
      <c r="AN72" s="10" t="str">
        <f>MID($AI72, COLUMNS($AI$67:AM$67), 1)</f>
        <v>1</v>
      </c>
      <c r="AO72" s="10" t="str">
        <f>MID($AI72, COLUMNS($AI$67:AN$67), 1)</f>
        <v>0</v>
      </c>
      <c r="AP72" s="10" t="str">
        <f>MID($AI72, COLUMNS($AI$67:AO$67), 1)</f>
        <v>1</v>
      </c>
      <c r="AQ72" s="10" t="str">
        <f>MID($AI72, COLUMNS($AI$67:AP$67), 1)</f>
        <v>0</v>
      </c>
    </row>
    <row r="73" spans="1:43" ht="13" customHeight="1">
      <c r="M73" s="22"/>
      <c r="N73">
        <f t="shared" si="81"/>
        <v>184</v>
      </c>
      <c r="O73">
        <f t="shared" si="82"/>
        <v>0</v>
      </c>
      <c r="P73">
        <f t="shared" si="82"/>
        <v>0</v>
      </c>
      <c r="Q73">
        <f t="shared" si="82"/>
        <v>0</v>
      </c>
      <c r="R73">
        <f t="shared" si="82"/>
        <v>1</v>
      </c>
      <c r="S73">
        <f t="shared" si="82"/>
        <v>1</v>
      </c>
      <c r="T73">
        <f t="shared" si="82"/>
        <v>1</v>
      </c>
      <c r="U73">
        <f t="shared" si="82"/>
        <v>0</v>
      </c>
      <c r="V73">
        <f t="shared" si="82"/>
        <v>1</v>
      </c>
      <c r="W73">
        <f t="shared" si="83"/>
        <v>2</v>
      </c>
      <c r="X73" s="22">
        <f t="shared" si="84"/>
        <v>1</v>
      </c>
      <c r="Y73">
        <v>1</v>
      </c>
      <c r="AF73" s="32" t="str">
        <v>7</v>
      </c>
      <c r="AG73" s="32">
        <v>193</v>
      </c>
      <c r="AH73" s="32" t="str">
        <f t="shared" si="85"/>
        <v>11000001</v>
      </c>
      <c r="AI73" s="32" t="str">
        <f t="shared" si="86"/>
        <v>10000011</v>
      </c>
      <c r="AJ73" s="10" t="str">
        <f>MID($AI73, COLUMNS($AI$67:AI$67), 1)</f>
        <v>1</v>
      </c>
      <c r="AK73" s="10" t="str">
        <f>MID($AI73, COLUMNS($AI$67:AJ$67), 1)</f>
        <v>0</v>
      </c>
      <c r="AL73" s="10" t="str">
        <f>MID($AI73, COLUMNS($AI$67:AK$67), 1)</f>
        <v>0</v>
      </c>
      <c r="AM73" s="10" t="str">
        <f>MID($AI73, COLUMNS($AI$67:AL$67), 1)</f>
        <v>0</v>
      </c>
      <c r="AN73" s="10" t="str">
        <f>MID($AI73, COLUMNS($AI$67:AM$67), 1)</f>
        <v>0</v>
      </c>
      <c r="AO73" s="10" t="str">
        <f>MID($AI73, COLUMNS($AI$67:AN$67), 1)</f>
        <v>0</v>
      </c>
      <c r="AP73" s="10" t="str">
        <f>MID($AI73, COLUMNS($AI$67:AO$67), 1)</f>
        <v>1</v>
      </c>
      <c r="AQ73" s="10" t="str">
        <f>MID($AI73, COLUMNS($AI$67:AP$67), 1)</f>
        <v>1</v>
      </c>
    </row>
    <row r="74" spans="1:43" ht="13" customHeight="1">
      <c r="M74" s="22"/>
      <c r="Y74" s="22"/>
      <c r="AF74" s="32" t="str">
        <v>7</v>
      </c>
      <c r="AG74" s="32">
        <v>193</v>
      </c>
      <c r="AH74" s="32" t="str">
        <f t="shared" si="85"/>
        <v>11000001</v>
      </c>
      <c r="AI74" s="32" t="str">
        <f t="shared" si="86"/>
        <v>10000011</v>
      </c>
      <c r="AJ74" s="10" t="str">
        <f>MID($AI74, COLUMNS($AI$67:AI$67), 1)</f>
        <v>1</v>
      </c>
      <c r="AK74" s="10" t="str">
        <f>MID($AI74, COLUMNS($AI$67:AJ$67), 1)</f>
        <v>0</v>
      </c>
      <c r="AL74" s="10" t="str">
        <f>MID($AI74, COLUMNS($AI$67:AK$67), 1)</f>
        <v>0</v>
      </c>
      <c r="AM74" s="10" t="str">
        <f>MID($AI74, COLUMNS($AI$67:AL$67), 1)</f>
        <v>0</v>
      </c>
      <c r="AN74" s="10" t="str">
        <f>MID($AI74, COLUMNS($AI$67:AM$67), 1)</f>
        <v>0</v>
      </c>
      <c r="AO74" s="10" t="str">
        <f>MID($AI74, COLUMNS($AI$67:AN$67), 1)</f>
        <v>0</v>
      </c>
      <c r="AP74" s="10" t="str">
        <f>MID($AI74, COLUMNS($AI$67:AO$67), 1)</f>
        <v>1</v>
      </c>
      <c r="AQ74" s="10" t="str">
        <f>MID($AI74, COLUMNS($AI$67:AP$67), 1)</f>
        <v>1</v>
      </c>
    </row>
    <row r="75" spans="1:43" ht="13" customHeight="1">
      <c r="M75" s="22"/>
      <c r="O75" s="1" t="s">
        <v>51</v>
      </c>
      <c r="R75" s="2"/>
      <c r="S75" s="2"/>
      <c r="T75" s="2"/>
      <c r="W75" s="2" t="s">
        <v>22</v>
      </c>
      <c r="X75" s="2" t="s">
        <v>52</v>
      </c>
      <c r="Y75" s="1" t="s">
        <v>54</v>
      </c>
      <c r="Z75" s="1" t="s">
        <v>55</v>
      </c>
      <c r="AK75" s="22"/>
    </row>
    <row r="76" spans="1:43" ht="13" customHeight="1">
      <c r="N76" s="32">
        <f t="shared" ref="N76:N85" si="87">BIN2DEC(reverse(_xlfn.CONCAT(O76:V76)))</f>
        <v>64</v>
      </c>
      <c r="O76" s="13">
        <v>0</v>
      </c>
      <c r="P76" s="13">
        <v>0</v>
      </c>
      <c r="Q76" s="13">
        <v>0</v>
      </c>
      <c r="R76" s="12">
        <v>0</v>
      </c>
      <c r="S76" s="12">
        <v>0</v>
      </c>
      <c r="T76" s="13">
        <v>0</v>
      </c>
      <c r="U76" s="13">
        <v>1</v>
      </c>
      <c r="V76" s="13">
        <v>0</v>
      </c>
      <c r="X76" s="2"/>
      <c r="Y76" s="2"/>
      <c r="Z76" s="2"/>
    </row>
    <row r="77" spans="1:43" ht="13" customHeight="1">
      <c r="N77" s="1" t="s">
        <v>23</v>
      </c>
      <c r="R77" s="36" t="s">
        <v>209</v>
      </c>
    </row>
    <row r="78" spans="1:43" ht="13" customHeight="1">
      <c r="A78" s="2"/>
      <c r="B78" s="2"/>
      <c r="N78">
        <f t="shared" si="87"/>
        <v>129</v>
      </c>
      <c r="O78" s="1">
        <v>1</v>
      </c>
      <c r="P78" s="30">
        <v>0</v>
      </c>
      <c r="Q78" s="30">
        <v>0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  <c r="W78" s="35">
        <v>7</v>
      </c>
      <c r="X78">
        <f>IF(L88&gt;=W78, 1, 0)</f>
        <v>0</v>
      </c>
      <c r="Y78" s="1">
        <v>0</v>
      </c>
      <c r="Z78">
        <f>IF(_xlfn.XOR(X78,Y78), 1, 0)</f>
        <v>0</v>
      </c>
    </row>
    <row r="79" spans="1:43" ht="13" customHeight="1">
      <c r="N79">
        <f t="shared" si="87"/>
        <v>192</v>
      </c>
      <c r="O79" s="30">
        <v>0</v>
      </c>
      <c r="P79" s="30">
        <v>0</v>
      </c>
      <c r="Q79" s="30">
        <v>0</v>
      </c>
      <c r="R79" s="30">
        <v>0</v>
      </c>
      <c r="S79" s="30">
        <v>0</v>
      </c>
      <c r="T79" s="30">
        <v>0</v>
      </c>
      <c r="U79" s="30">
        <v>1</v>
      </c>
      <c r="V79" s="30">
        <v>1</v>
      </c>
      <c r="W79" s="35">
        <v>0</v>
      </c>
      <c r="X79" s="32">
        <f t="shared" ref="X79:X85" si="88">IF(L89&gt;=W79, 1, 0)</f>
        <v>1</v>
      </c>
      <c r="Y79" s="1">
        <v>0</v>
      </c>
      <c r="Z79" s="32">
        <f t="shared" ref="Z79:Z85" si="89">IF(_xlfn.XOR(X79,Y79), 1, 0)</f>
        <v>1</v>
      </c>
    </row>
    <row r="80" spans="1:43" ht="13" customHeight="1">
      <c r="N80">
        <f t="shared" si="87"/>
        <v>107</v>
      </c>
      <c r="O80" s="30">
        <v>1</v>
      </c>
      <c r="P80" s="30">
        <v>1</v>
      </c>
      <c r="Q80" s="30">
        <v>0</v>
      </c>
      <c r="R80" s="30">
        <v>1</v>
      </c>
      <c r="S80" s="30">
        <v>0</v>
      </c>
      <c r="T80" s="30">
        <v>1</v>
      </c>
      <c r="U80" s="30">
        <v>1</v>
      </c>
      <c r="V80" s="30">
        <v>0</v>
      </c>
      <c r="W80" s="35">
        <v>5</v>
      </c>
      <c r="X80" s="32">
        <f t="shared" si="88"/>
        <v>0</v>
      </c>
      <c r="Y80" s="1">
        <v>0</v>
      </c>
      <c r="Z80" s="32">
        <f t="shared" si="89"/>
        <v>0</v>
      </c>
    </row>
    <row r="81" spans="3:34" ht="13" customHeight="1">
      <c r="N81">
        <f t="shared" si="87"/>
        <v>212</v>
      </c>
      <c r="O81" s="30">
        <v>0</v>
      </c>
      <c r="P81" s="30">
        <v>0</v>
      </c>
      <c r="Q81" s="30">
        <v>1</v>
      </c>
      <c r="R81" s="30">
        <v>0</v>
      </c>
      <c r="S81" s="30">
        <v>1</v>
      </c>
      <c r="T81" s="30">
        <v>0</v>
      </c>
      <c r="U81" s="30">
        <v>1</v>
      </c>
      <c r="V81" s="30">
        <v>1</v>
      </c>
      <c r="W81" s="35">
        <v>3</v>
      </c>
      <c r="X81" s="32">
        <f t="shared" si="88"/>
        <v>1</v>
      </c>
      <c r="Y81" s="1">
        <v>1</v>
      </c>
      <c r="Z81" s="32">
        <f t="shared" si="89"/>
        <v>0</v>
      </c>
    </row>
    <row r="82" spans="3:34" ht="13" customHeight="1">
      <c r="N82">
        <f t="shared" si="87"/>
        <v>123</v>
      </c>
      <c r="O82" s="30">
        <v>1</v>
      </c>
      <c r="P82" s="30">
        <v>1</v>
      </c>
      <c r="Q82" s="30">
        <v>0</v>
      </c>
      <c r="R82" s="30">
        <v>1</v>
      </c>
      <c r="S82" s="30">
        <v>1</v>
      </c>
      <c r="T82" s="30">
        <v>1</v>
      </c>
      <c r="U82" s="30">
        <v>1</v>
      </c>
      <c r="V82" s="30">
        <v>0</v>
      </c>
      <c r="W82" s="35">
        <v>6</v>
      </c>
      <c r="X82" s="32">
        <f t="shared" si="88"/>
        <v>0</v>
      </c>
      <c r="Y82" s="1">
        <v>0</v>
      </c>
      <c r="Z82" s="32">
        <f t="shared" si="89"/>
        <v>0</v>
      </c>
    </row>
    <row r="83" spans="3:34" ht="13" customHeight="1">
      <c r="N83">
        <f t="shared" si="87"/>
        <v>21</v>
      </c>
      <c r="O83" s="30">
        <v>1</v>
      </c>
      <c r="P83" s="30">
        <v>0</v>
      </c>
      <c r="Q83" s="30">
        <v>1</v>
      </c>
      <c r="R83" s="30">
        <v>0</v>
      </c>
      <c r="S83" s="30">
        <v>1</v>
      </c>
      <c r="T83" s="30">
        <v>0</v>
      </c>
      <c r="U83" s="30">
        <v>0</v>
      </c>
      <c r="V83" s="30">
        <v>0</v>
      </c>
      <c r="W83" s="35">
        <v>7</v>
      </c>
      <c r="X83" s="32">
        <f t="shared" si="88"/>
        <v>0</v>
      </c>
      <c r="Y83" s="1">
        <v>1</v>
      </c>
      <c r="Z83" s="32">
        <f t="shared" si="89"/>
        <v>1</v>
      </c>
    </row>
    <row r="84" spans="3:34" ht="13" customHeight="1">
      <c r="N84">
        <f t="shared" si="87"/>
        <v>129</v>
      </c>
      <c r="O84" s="30">
        <v>1</v>
      </c>
      <c r="P84" s="30">
        <v>0</v>
      </c>
      <c r="Q84" s="30">
        <v>0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  <c r="W84" s="35">
        <v>7</v>
      </c>
      <c r="X84" s="32">
        <f t="shared" si="88"/>
        <v>0</v>
      </c>
      <c r="Y84" s="1">
        <v>0</v>
      </c>
      <c r="Z84" s="32">
        <f t="shared" si="89"/>
        <v>0</v>
      </c>
    </row>
    <row r="85" spans="3:34" ht="13" customHeight="1">
      <c r="N85">
        <f t="shared" si="87"/>
        <v>129</v>
      </c>
      <c r="O85" s="30">
        <v>1</v>
      </c>
      <c r="P85" s="30">
        <v>0</v>
      </c>
      <c r="Q85" s="30">
        <v>0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  <c r="W85" s="35">
        <v>7</v>
      </c>
      <c r="X85" s="32">
        <f t="shared" si="88"/>
        <v>0</v>
      </c>
      <c r="Y85" s="1">
        <v>0</v>
      </c>
      <c r="Z85" s="32">
        <f t="shared" si="89"/>
        <v>0</v>
      </c>
    </row>
    <row r="86" spans="3:34" ht="13" customHeight="1">
      <c r="X86">
        <f>BIN2DEC(reverse(_xlfn.CONCAT(X78:X85)))</f>
        <v>10</v>
      </c>
      <c r="Y86">
        <f>BIN2DEC(reverse(_xlfn.CONCAT(Y78:Y85)))</f>
        <v>40</v>
      </c>
      <c r="Z86">
        <f>BIN2DEC(reverse(_xlfn.CONCAT(Z78:Z85)))</f>
        <v>34</v>
      </c>
    </row>
    <row r="87" spans="3:34" ht="13" customHeight="1">
      <c r="C87" s="33" t="s">
        <v>185</v>
      </c>
      <c r="L87" s="36" t="s">
        <v>208</v>
      </c>
      <c r="N87" t="s">
        <v>86</v>
      </c>
    </row>
    <row r="88" spans="3:34" ht="13" customHeight="1">
      <c r="C88" s="32">
        <f t="shared" ref="C88:C95" si="90">BIN2DEC(reverse(_xlfn.CONCAT(D88:K88)))</f>
        <v>193</v>
      </c>
      <c r="D88">
        <v>1</v>
      </c>
      <c r="E88" s="32">
        <v>0</v>
      </c>
      <c r="F88" s="32">
        <v>0</v>
      </c>
      <c r="G88" s="32">
        <v>0</v>
      </c>
      <c r="H88" s="32">
        <v>0</v>
      </c>
      <c r="I88" s="32">
        <v>0</v>
      </c>
      <c r="J88" s="32">
        <v>1</v>
      </c>
      <c r="K88" s="32">
        <v>1</v>
      </c>
      <c r="L88">
        <f>COUNTIF(D88:K88,1)</f>
        <v>3</v>
      </c>
      <c r="N88" s="29">
        <f t="shared" ref="N88:N95" si="91">BIN2DEC(reverse(_xlfn.CONCAT(O88:V88)))</f>
        <v>0</v>
      </c>
      <c r="O88" s="36">
        <f>IF(AND($Z78,(_xlfn.XOR(D88,NOT($X78)))),1,0)</f>
        <v>0</v>
      </c>
      <c r="P88" s="36">
        <f>IF(AND($Z78,(_xlfn.XOR(E88,NOT($X78)))),1,0)</f>
        <v>0</v>
      </c>
      <c r="Q88" s="36">
        <f t="shared" ref="Q88:V88" si="92">IF(AND($Z78,(_xlfn.XOR(F88,NOT($X78)))),1,0)</f>
        <v>0</v>
      </c>
      <c r="R88" s="36">
        <f t="shared" si="92"/>
        <v>0</v>
      </c>
      <c r="S88" s="36">
        <f t="shared" si="92"/>
        <v>0</v>
      </c>
      <c r="T88" s="36">
        <f t="shared" si="92"/>
        <v>0</v>
      </c>
      <c r="U88" s="36">
        <f t="shared" si="92"/>
        <v>0</v>
      </c>
      <c r="V88" s="36">
        <f t="shared" si="92"/>
        <v>0</v>
      </c>
      <c r="Y88" s="32"/>
      <c r="AA88" s="32"/>
      <c r="AB88" s="32"/>
      <c r="AC88" s="32"/>
      <c r="AD88" s="32"/>
      <c r="AE88" s="32"/>
      <c r="AF88" s="32"/>
      <c r="AG88" s="32"/>
      <c r="AH88" s="32"/>
    </row>
    <row r="89" spans="3:34" ht="13" customHeight="1">
      <c r="C89" s="32">
        <f t="shared" si="90"/>
        <v>128</v>
      </c>
      <c r="D89" s="32">
        <v>0</v>
      </c>
      <c r="E89" s="32">
        <v>0</v>
      </c>
      <c r="F89" s="32">
        <v>0</v>
      </c>
      <c r="G89" s="32">
        <v>0</v>
      </c>
      <c r="H89" s="32">
        <v>0</v>
      </c>
      <c r="I89" s="32">
        <v>0</v>
      </c>
      <c r="J89" s="32">
        <v>0</v>
      </c>
      <c r="K89" s="32">
        <v>1</v>
      </c>
      <c r="L89" s="32">
        <f t="shared" ref="L89:L95" si="93">COUNTIF(D89:K89,1)</f>
        <v>1</v>
      </c>
      <c r="N89" s="29">
        <f t="shared" si="91"/>
        <v>128</v>
      </c>
      <c r="O89" s="36">
        <f>IF(AND($Z79,(_xlfn.XOR(D89,NOT($X79)))),1,0)</f>
        <v>0</v>
      </c>
      <c r="P89" s="36">
        <f>IF(AND($Z79,(_xlfn.XOR(E89,NOT($X79)))),1,0)</f>
        <v>0</v>
      </c>
      <c r="Q89" s="36">
        <f>IF(AND($Z79,(_xlfn.XOR(F89,NOT($X79)))),1,0)</f>
        <v>0</v>
      </c>
      <c r="R89" s="36">
        <f t="shared" ref="R89:V89" si="94">IF(AND($Z79,(_xlfn.XOR(G89,NOT($X79)))),1,0)</f>
        <v>0</v>
      </c>
      <c r="S89" s="36">
        <f t="shared" si="94"/>
        <v>0</v>
      </c>
      <c r="T89" s="36">
        <f t="shared" si="94"/>
        <v>0</v>
      </c>
      <c r="U89" s="36">
        <f t="shared" si="94"/>
        <v>0</v>
      </c>
      <c r="V89" s="36">
        <f t="shared" si="94"/>
        <v>1</v>
      </c>
      <c r="Y89" s="32"/>
      <c r="Z89" s="32"/>
      <c r="AA89" s="32"/>
      <c r="AB89" s="32"/>
      <c r="AC89" s="32"/>
      <c r="AD89" s="32"/>
      <c r="AE89" s="32"/>
      <c r="AF89" s="32"/>
      <c r="AG89" s="32"/>
      <c r="AH89" s="32"/>
    </row>
    <row r="90" spans="3:34" ht="13" customHeight="1">
      <c r="C90" s="32">
        <f t="shared" si="90"/>
        <v>43</v>
      </c>
      <c r="D90" s="32">
        <v>1</v>
      </c>
      <c r="E90" s="32">
        <v>1</v>
      </c>
      <c r="F90" s="32">
        <v>0</v>
      </c>
      <c r="G90" s="32">
        <v>1</v>
      </c>
      <c r="H90" s="32">
        <v>0</v>
      </c>
      <c r="I90" s="32">
        <v>1</v>
      </c>
      <c r="J90" s="32">
        <v>0</v>
      </c>
      <c r="K90" s="32">
        <v>0</v>
      </c>
      <c r="L90" s="32">
        <f t="shared" si="93"/>
        <v>4</v>
      </c>
      <c r="N90" s="29">
        <f t="shared" si="91"/>
        <v>0</v>
      </c>
      <c r="O90" s="36">
        <f>IF(AND($Z80,(_xlfn.XOR(D90,NOT($X80)))),1,0)</f>
        <v>0</v>
      </c>
      <c r="P90" s="36">
        <f t="shared" ref="P90:V90" si="95">IF(AND($Z80,(_xlfn.XOR(E90,NOT($X80)))),1,0)</f>
        <v>0</v>
      </c>
      <c r="Q90" s="36">
        <f>IF(AND($Z80,(_xlfn.XOR(F90,NOT($X80)))),1,0)</f>
        <v>0</v>
      </c>
      <c r="R90" s="36">
        <f t="shared" si="95"/>
        <v>0</v>
      </c>
      <c r="S90" s="36">
        <f>IF(AND($Z80,(_xlfn.XOR(H90,NOT($X80)))),1,0)</f>
        <v>0</v>
      </c>
      <c r="T90" s="36">
        <f t="shared" si="95"/>
        <v>0</v>
      </c>
      <c r="U90" s="36">
        <f t="shared" si="95"/>
        <v>0</v>
      </c>
      <c r="V90" s="36">
        <f t="shared" si="95"/>
        <v>0</v>
      </c>
      <c r="Y90" s="32"/>
      <c r="Z90" s="32"/>
      <c r="AA90" s="32"/>
      <c r="AB90" s="32"/>
      <c r="AC90" s="32"/>
      <c r="AD90" s="32"/>
      <c r="AE90" s="32"/>
      <c r="AF90" s="32"/>
      <c r="AG90" s="32"/>
      <c r="AH90" s="32"/>
    </row>
    <row r="91" spans="3:34" ht="13" customHeight="1">
      <c r="C91" s="32">
        <f t="shared" si="90"/>
        <v>148</v>
      </c>
      <c r="D91" s="32">
        <v>0</v>
      </c>
      <c r="E91" s="32">
        <v>0</v>
      </c>
      <c r="F91" s="32">
        <v>1</v>
      </c>
      <c r="G91" s="32">
        <v>0</v>
      </c>
      <c r="H91" s="32">
        <v>1</v>
      </c>
      <c r="I91" s="32">
        <v>0</v>
      </c>
      <c r="J91" s="32">
        <v>0</v>
      </c>
      <c r="K91" s="32">
        <v>1</v>
      </c>
      <c r="L91" s="32">
        <f t="shared" si="93"/>
        <v>3</v>
      </c>
      <c r="N91" s="29">
        <f t="shared" si="91"/>
        <v>0</v>
      </c>
      <c r="O91" s="36">
        <f>IF(AND($Z81,(_xlfn.XOR(D91,NOT($X81)))),1,0)</f>
        <v>0</v>
      </c>
      <c r="P91" s="36">
        <f>IF(AND($Z81,(_xlfn.XOR(E91,NOT($X81)))),1,0)</f>
        <v>0</v>
      </c>
      <c r="Q91" s="36">
        <f t="shared" ref="Q91:R91" si="96">IF(AND($Z81,(_xlfn.XOR(F91,NOT($X81)))),1,0)</f>
        <v>0</v>
      </c>
      <c r="R91" s="36">
        <f t="shared" si="96"/>
        <v>0</v>
      </c>
      <c r="S91" s="36">
        <f>IF(AND($Z81,(_xlfn.XOR(H91,NOT($X81)))),1,0)</f>
        <v>0</v>
      </c>
      <c r="T91" s="36">
        <f>IF(AND($Z81,(_xlfn.XOR(I91,NOT($X81)))),1,0)</f>
        <v>0</v>
      </c>
      <c r="U91" s="36">
        <f>IF(AND($Z81,(_xlfn.XOR(J91,NOT($X81)))),1,0)</f>
        <v>0</v>
      </c>
      <c r="V91" s="36">
        <f>IF(AND($Z81,(_xlfn.XOR(K91,NOT($X81)))),1,0)</f>
        <v>0</v>
      </c>
      <c r="Y91" s="32"/>
      <c r="Z91" s="32"/>
      <c r="AA91" s="32"/>
      <c r="AB91" s="32"/>
      <c r="AC91" s="32"/>
      <c r="AD91" s="32"/>
      <c r="AE91" s="32"/>
      <c r="AF91" s="32"/>
      <c r="AG91" s="32"/>
      <c r="AH91" s="32"/>
    </row>
    <row r="92" spans="3:34" ht="13" customHeight="1">
      <c r="C92" s="32">
        <f t="shared" si="90"/>
        <v>59</v>
      </c>
      <c r="D92" s="32">
        <v>1</v>
      </c>
      <c r="E92" s="32">
        <v>1</v>
      </c>
      <c r="F92" s="32">
        <v>0</v>
      </c>
      <c r="G92" s="32">
        <v>1</v>
      </c>
      <c r="H92" s="32">
        <v>1</v>
      </c>
      <c r="I92" s="32">
        <v>1</v>
      </c>
      <c r="J92" s="32">
        <v>0</v>
      </c>
      <c r="K92" s="32">
        <v>0</v>
      </c>
      <c r="L92" s="32">
        <f t="shared" si="93"/>
        <v>5</v>
      </c>
      <c r="N92" s="29">
        <f t="shared" si="91"/>
        <v>0</v>
      </c>
      <c r="O92" s="36">
        <f>IF(AND($Z82,(_xlfn.XOR(D92,NOT($X82)))),1,0)</f>
        <v>0</v>
      </c>
      <c r="P92" s="36">
        <f t="shared" ref="P92:V92" si="97">IF(AND($Z82,(_xlfn.XOR(E92,NOT($X82)))),1,0)</f>
        <v>0</v>
      </c>
      <c r="Q92" s="36">
        <f t="shared" si="97"/>
        <v>0</v>
      </c>
      <c r="R92" s="36">
        <f t="shared" si="97"/>
        <v>0</v>
      </c>
      <c r="S92" s="36">
        <f t="shared" si="97"/>
        <v>0</v>
      </c>
      <c r="T92" s="36">
        <f t="shared" si="97"/>
        <v>0</v>
      </c>
      <c r="U92" s="36">
        <f t="shared" si="97"/>
        <v>0</v>
      </c>
      <c r="V92" s="36">
        <f t="shared" si="97"/>
        <v>0</v>
      </c>
      <c r="Y92" s="32"/>
      <c r="Z92" s="32"/>
      <c r="AA92" s="32"/>
      <c r="AB92" s="32"/>
      <c r="AC92" s="32"/>
      <c r="AD92" s="32"/>
      <c r="AE92" s="32"/>
      <c r="AF92" s="32"/>
      <c r="AG92" s="32"/>
      <c r="AH92" s="32"/>
    </row>
    <row r="93" spans="3:34" ht="13" customHeight="1">
      <c r="C93" s="32">
        <f t="shared" si="90"/>
        <v>85</v>
      </c>
      <c r="D93" s="32">
        <v>1</v>
      </c>
      <c r="E93" s="32">
        <v>0</v>
      </c>
      <c r="F93" s="32">
        <v>1</v>
      </c>
      <c r="G93" s="32">
        <v>0</v>
      </c>
      <c r="H93" s="32">
        <v>1</v>
      </c>
      <c r="I93" s="32">
        <v>0</v>
      </c>
      <c r="J93" s="32">
        <v>1</v>
      </c>
      <c r="K93" s="32">
        <v>0</v>
      </c>
      <c r="L93" s="32">
        <f t="shared" si="93"/>
        <v>4</v>
      </c>
      <c r="N93" s="29">
        <f t="shared" si="91"/>
        <v>170</v>
      </c>
      <c r="O93" s="36">
        <f>IF(AND($Z83,(_xlfn.XOR(D93,NOT($X83)))),1,0)</f>
        <v>0</v>
      </c>
      <c r="P93" s="36">
        <f t="shared" ref="P93:V93" si="98">IF(AND($Z83,(_xlfn.XOR(E93,NOT($X83)))),1,0)</f>
        <v>1</v>
      </c>
      <c r="Q93" s="36">
        <f t="shared" si="98"/>
        <v>0</v>
      </c>
      <c r="R93" s="36">
        <f t="shared" si="98"/>
        <v>1</v>
      </c>
      <c r="S93" s="36">
        <f t="shared" si="98"/>
        <v>0</v>
      </c>
      <c r="T93" s="36">
        <f t="shared" si="98"/>
        <v>1</v>
      </c>
      <c r="U93" s="36">
        <f t="shared" si="98"/>
        <v>0</v>
      </c>
      <c r="V93" s="36">
        <f t="shared" si="98"/>
        <v>1</v>
      </c>
      <c r="Y93" s="32"/>
      <c r="Z93" s="32"/>
      <c r="AA93" s="32"/>
      <c r="AB93" s="32"/>
      <c r="AC93" s="32"/>
      <c r="AD93" s="32"/>
      <c r="AE93" s="32"/>
      <c r="AF93" s="32"/>
      <c r="AG93" s="32"/>
      <c r="AH93" s="32"/>
    </row>
    <row r="94" spans="3:34" ht="13" customHeight="1">
      <c r="C94" s="32">
        <f t="shared" si="90"/>
        <v>193</v>
      </c>
      <c r="D94" s="32">
        <v>1</v>
      </c>
      <c r="E94" s="32">
        <v>0</v>
      </c>
      <c r="F94" s="32">
        <v>0</v>
      </c>
      <c r="G94" s="32">
        <v>0</v>
      </c>
      <c r="H94" s="32">
        <v>0</v>
      </c>
      <c r="I94" s="32">
        <v>0</v>
      </c>
      <c r="J94" s="32">
        <v>1</v>
      </c>
      <c r="K94" s="32">
        <v>1</v>
      </c>
      <c r="L94" s="32">
        <f t="shared" si="93"/>
        <v>3</v>
      </c>
      <c r="N94" s="29">
        <f t="shared" si="91"/>
        <v>0</v>
      </c>
      <c r="O94" s="36">
        <f>IF(AND($Z84,(_xlfn.XOR(D94,NOT($X84)))),1,0)</f>
        <v>0</v>
      </c>
      <c r="P94" s="36">
        <f t="shared" ref="P94:V94" si="99">IF(AND($Z84,(_xlfn.XOR(E94,NOT($X84)))),1,0)</f>
        <v>0</v>
      </c>
      <c r="Q94" s="36">
        <f t="shared" si="99"/>
        <v>0</v>
      </c>
      <c r="R94" s="36">
        <f t="shared" si="99"/>
        <v>0</v>
      </c>
      <c r="S94" s="36">
        <f t="shared" si="99"/>
        <v>0</v>
      </c>
      <c r="T94" s="36">
        <f t="shared" si="99"/>
        <v>0</v>
      </c>
      <c r="U94" s="36">
        <f t="shared" si="99"/>
        <v>0</v>
      </c>
      <c r="V94" s="36">
        <f t="shared" si="99"/>
        <v>0</v>
      </c>
      <c r="Y94" s="32"/>
      <c r="Z94" s="32"/>
      <c r="AA94" s="32"/>
      <c r="AB94" s="32"/>
      <c r="AC94" s="32"/>
      <c r="AD94" s="32"/>
      <c r="AE94" s="32"/>
      <c r="AF94" s="32"/>
      <c r="AG94" s="32"/>
      <c r="AH94" s="32"/>
    </row>
    <row r="95" spans="3:34" ht="13" customHeight="1">
      <c r="C95" s="32">
        <f t="shared" si="90"/>
        <v>193</v>
      </c>
      <c r="D95" s="32">
        <v>1</v>
      </c>
      <c r="E95" s="32">
        <v>0</v>
      </c>
      <c r="F95" s="32">
        <v>0</v>
      </c>
      <c r="G95" s="32">
        <v>0</v>
      </c>
      <c r="H95" s="32">
        <v>0</v>
      </c>
      <c r="I95" s="32">
        <v>0</v>
      </c>
      <c r="J95" s="32">
        <v>1</v>
      </c>
      <c r="K95" s="32">
        <v>1</v>
      </c>
      <c r="L95" s="32">
        <f t="shared" si="93"/>
        <v>3</v>
      </c>
      <c r="N95" s="29">
        <f t="shared" si="91"/>
        <v>0</v>
      </c>
      <c r="O95" s="36">
        <f t="shared" ref="O95:V95" si="100">IF(AND($Z85,(_xlfn.XOR(D95,NOT($X85)))),1,0)</f>
        <v>0</v>
      </c>
      <c r="P95" s="36">
        <f t="shared" si="100"/>
        <v>0</v>
      </c>
      <c r="Q95" s="36">
        <f t="shared" si="100"/>
        <v>0</v>
      </c>
      <c r="R95" s="36">
        <f t="shared" si="100"/>
        <v>0</v>
      </c>
      <c r="S95" s="36">
        <f t="shared" si="100"/>
        <v>0</v>
      </c>
      <c r="T95" s="36">
        <f t="shared" si="100"/>
        <v>0</v>
      </c>
      <c r="U95" s="36">
        <f t="shared" si="100"/>
        <v>0</v>
      </c>
      <c r="V95" s="36">
        <f t="shared" si="100"/>
        <v>0</v>
      </c>
      <c r="Y95" s="32"/>
      <c r="Z95" s="32"/>
      <c r="AA95" s="32"/>
      <c r="AB95" s="32"/>
      <c r="AC95" s="32"/>
      <c r="AD95" s="32"/>
      <c r="AE95" s="32"/>
      <c r="AF95" s="32"/>
      <c r="AG95" s="32"/>
      <c r="AH95" s="32"/>
    </row>
    <row r="97" spans="14:22" ht="13" customHeight="1">
      <c r="N97" s="30" t="s">
        <v>179</v>
      </c>
      <c r="T97" s="36" t="s">
        <v>210</v>
      </c>
    </row>
    <row r="98" spans="14:22" ht="13" customHeight="1">
      <c r="N98" s="29">
        <f t="shared" ref="N98:N105" si="101">BIN2DEC(reverse(_xlfn.CONCAT(O98:V98)))</f>
        <v>129</v>
      </c>
      <c r="O98" s="30">
        <v>1</v>
      </c>
      <c r="P98" s="30">
        <v>0</v>
      </c>
      <c r="Q98" s="30">
        <v>0</v>
      </c>
      <c r="R98" s="30">
        <v>0</v>
      </c>
      <c r="S98" s="30">
        <v>0</v>
      </c>
      <c r="T98" s="31">
        <f>IF(IF(T88,NOT(T78),T78),1,0)</f>
        <v>0</v>
      </c>
      <c r="U98" s="30">
        <v>0</v>
      </c>
      <c r="V98" s="33">
        <v>1</v>
      </c>
    </row>
    <row r="99" spans="14:22" ht="13" customHeight="1">
      <c r="N99" s="29">
        <f t="shared" si="101"/>
        <v>192</v>
      </c>
      <c r="O99" s="30">
        <v>0</v>
      </c>
      <c r="P99" s="30">
        <v>0</v>
      </c>
      <c r="Q99" s="30">
        <v>0</v>
      </c>
      <c r="R99" s="30">
        <v>0</v>
      </c>
      <c r="S99" s="30">
        <v>0</v>
      </c>
      <c r="T99" s="31">
        <f t="shared" ref="T99:T105" si="102">IF(IF(T89,NOT(T79),T79),1,0)</f>
        <v>0</v>
      </c>
      <c r="U99" s="30">
        <v>1</v>
      </c>
      <c r="V99" s="33">
        <v>1</v>
      </c>
    </row>
    <row r="100" spans="14:22" ht="13" customHeight="1">
      <c r="N100" s="29">
        <f t="shared" si="101"/>
        <v>107</v>
      </c>
      <c r="O100" s="30">
        <v>1</v>
      </c>
      <c r="P100" s="30">
        <v>1</v>
      </c>
      <c r="Q100" s="30">
        <v>0</v>
      </c>
      <c r="R100" s="30">
        <v>1</v>
      </c>
      <c r="S100" s="30">
        <v>0</v>
      </c>
      <c r="T100" s="31">
        <f t="shared" si="102"/>
        <v>1</v>
      </c>
      <c r="U100" s="30">
        <v>1</v>
      </c>
      <c r="V100" s="33">
        <v>0</v>
      </c>
    </row>
    <row r="101" spans="14:22" ht="13" customHeight="1">
      <c r="N101" s="29">
        <f t="shared" si="101"/>
        <v>212</v>
      </c>
      <c r="O101" s="30">
        <v>0</v>
      </c>
      <c r="P101" s="30">
        <v>0</v>
      </c>
      <c r="Q101" s="30">
        <v>1</v>
      </c>
      <c r="R101" s="30">
        <v>0</v>
      </c>
      <c r="S101" s="30">
        <v>1</v>
      </c>
      <c r="T101" s="31">
        <f t="shared" si="102"/>
        <v>0</v>
      </c>
      <c r="U101" s="30">
        <v>1</v>
      </c>
      <c r="V101" s="33">
        <v>1</v>
      </c>
    </row>
    <row r="102" spans="14:22" ht="13" customHeight="1">
      <c r="N102" s="29">
        <f t="shared" si="101"/>
        <v>123</v>
      </c>
      <c r="O102" s="30">
        <v>1</v>
      </c>
      <c r="P102" s="30">
        <v>1</v>
      </c>
      <c r="Q102" s="30">
        <v>0</v>
      </c>
      <c r="R102" s="30">
        <v>1</v>
      </c>
      <c r="S102" s="30">
        <v>1</v>
      </c>
      <c r="T102" s="31">
        <f t="shared" si="102"/>
        <v>1</v>
      </c>
      <c r="U102" s="30">
        <v>1</v>
      </c>
      <c r="V102" s="33">
        <v>0</v>
      </c>
    </row>
    <row r="103" spans="14:22" ht="13" customHeight="1">
      <c r="N103" s="29">
        <f t="shared" si="101"/>
        <v>53</v>
      </c>
      <c r="O103" s="30">
        <v>1</v>
      </c>
      <c r="P103" s="30">
        <v>0</v>
      </c>
      <c r="Q103" s="30">
        <v>1</v>
      </c>
      <c r="R103" s="30">
        <v>0</v>
      </c>
      <c r="S103" s="30">
        <v>1</v>
      </c>
      <c r="T103" s="31">
        <f t="shared" si="102"/>
        <v>1</v>
      </c>
      <c r="U103" s="30">
        <v>0</v>
      </c>
      <c r="V103" s="33">
        <v>0</v>
      </c>
    </row>
    <row r="104" spans="14:22" ht="13" customHeight="1">
      <c r="N104" s="29">
        <f t="shared" si="101"/>
        <v>129</v>
      </c>
      <c r="O104" s="30">
        <v>1</v>
      </c>
      <c r="P104" s="30">
        <v>0</v>
      </c>
      <c r="Q104" s="30">
        <v>0</v>
      </c>
      <c r="R104" s="30">
        <v>0</v>
      </c>
      <c r="S104" s="30">
        <v>0</v>
      </c>
      <c r="T104" s="31">
        <f t="shared" si="102"/>
        <v>0</v>
      </c>
      <c r="U104" s="30">
        <v>0</v>
      </c>
      <c r="V104" s="33">
        <v>1</v>
      </c>
    </row>
    <row r="105" spans="14:22" ht="13" customHeight="1">
      <c r="N105" s="29">
        <f t="shared" si="101"/>
        <v>129</v>
      </c>
      <c r="O105" s="30">
        <v>1</v>
      </c>
      <c r="P105" s="30">
        <v>0</v>
      </c>
      <c r="Q105" s="30">
        <v>0</v>
      </c>
      <c r="R105" s="30">
        <v>0</v>
      </c>
      <c r="S105" s="30">
        <v>0</v>
      </c>
      <c r="T105" s="31">
        <f t="shared" si="102"/>
        <v>0</v>
      </c>
      <c r="U105" s="30">
        <v>0</v>
      </c>
      <c r="V105" s="33">
        <v>1</v>
      </c>
    </row>
    <row r="120" spans="25:25" ht="13" customHeight="1">
      <c r="Y120" s="18"/>
    </row>
    <row r="121" spans="25:25" ht="13" customHeight="1">
      <c r="Y121" s="18"/>
    </row>
    <row r="122" spans="25:25" ht="13" customHeight="1">
      <c r="Y122" s="19"/>
    </row>
    <row r="123" spans="25:25" ht="13" customHeight="1">
      <c r="Y123" s="19"/>
    </row>
    <row r="124" spans="25:25" ht="13" customHeight="1">
      <c r="Y124" s="19"/>
    </row>
    <row r="125" spans="25:25" ht="13" customHeight="1">
      <c r="Y125" s="19"/>
    </row>
    <row r="126" spans="25:25" ht="13" customHeight="1">
      <c r="Y126" s="18"/>
    </row>
    <row r="127" spans="25:25" ht="13" customHeight="1">
      <c r="Y127" s="19"/>
    </row>
    <row r="128" spans="25:25" ht="13" customHeight="1">
      <c r="Y128" s="19"/>
    </row>
    <row r="129" spans="25:25" ht="13" customHeight="1">
      <c r="Y129" s="19"/>
    </row>
    <row r="130" spans="25:25" ht="13" customHeight="1">
      <c r="Y130" s="19"/>
    </row>
    <row r="131" spans="25:25" ht="13" customHeight="1">
      <c r="Y131" s="18"/>
    </row>
    <row r="132" spans="25:25" ht="13" customHeight="1">
      <c r="Y132" s="18"/>
    </row>
    <row r="133" spans="25:25" ht="13" customHeight="1">
      <c r="Y133" s="18"/>
    </row>
    <row r="135" spans="25:25" ht="13" customHeight="1">
      <c r="Y135" s="18"/>
    </row>
    <row r="136" spans="25:25" ht="13" customHeight="1">
      <c r="Y136" s="18"/>
    </row>
    <row r="137" spans="25:25" ht="13" customHeight="1">
      <c r="Y137" s="19"/>
    </row>
    <row r="138" spans="25:25" ht="13" customHeight="1">
      <c r="Y138" s="19"/>
    </row>
    <row r="139" spans="25:25" ht="13" customHeight="1">
      <c r="Y139" s="19"/>
    </row>
    <row r="140" spans="25:25" ht="13" customHeight="1">
      <c r="Y140" s="19"/>
    </row>
    <row r="141" spans="25:25" ht="13" customHeight="1">
      <c r="Y141" s="18"/>
    </row>
    <row r="142" spans="25:25" ht="13" customHeight="1">
      <c r="Y142" s="19"/>
    </row>
    <row r="143" spans="25:25" ht="13" customHeight="1">
      <c r="Y143" s="19"/>
    </row>
    <row r="144" spans="25:25" ht="13" customHeight="1">
      <c r="Y144" s="19"/>
    </row>
    <row r="145" spans="25:25" ht="13" customHeight="1">
      <c r="Y145" s="19"/>
    </row>
    <row r="146" spans="25:25" ht="13" customHeight="1">
      <c r="Y146" s="18"/>
    </row>
    <row r="147" spans="25:25" ht="13" customHeight="1">
      <c r="Y147" s="18"/>
    </row>
    <row r="148" spans="25:25" ht="13" customHeight="1">
      <c r="Y148" s="18"/>
    </row>
    <row r="150" spans="25:25" ht="13" customHeight="1">
      <c r="Y150" s="18"/>
    </row>
    <row r="151" spans="25:25" ht="13" customHeight="1">
      <c r="Y151" s="18"/>
    </row>
    <row r="152" spans="25:25" ht="13" customHeight="1">
      <c r="Y152" s="19"/>
    </row>
    <row r="153" spans="25:25" ht="13" customHeight="1">
      <c r="Y153" s="19"/>
    </row>
    <row r="154" spans="25:25" ht="13" customHeight="1">
      <c r="Y154" s="19"/>
    </row>
    <row r="155" spans="25:25" ht="13" customHeight="1">
      <c r="Y155" s="19"/>
    </row>
    <row r="156" spans="25:25" ht="13" customHeight="1">
      <c r="Y156" s="18"/>
    </row>
    <row r="157" spans="25:25" ht="13" customHeight="1">
      <c r="Y157" s="19"/>
    </row>
    <row r="158" spans="25:25" ht="13" customHeight="1">
      <c r="Y158" s="19"/>
    </row>
    <row r="159" spans="25:25" ht="13" customHeight="1">
      <c r="Y159" s="19"/>
    </row>
    <row r="160" spans="25:25" ht="13" customHeight="1">
      <c r="Y160" s="19"/>
    </row>
    <row r="161" spans="25:25" ht="13" customHeight="1">
      <c r="Y161" s="18"/>
    </row>
    <row r="162" spans="25:25" ht="13" customHeight="1">
      <c r="Y162" s="18"/>
    </row>
    <row r="163" spans="25:25" ht="13" customHeight="1">
      <c r="Y163" s="18"/>
    </row>
    <row r="165" spans="25:25" ht="13" customHeight="1">
      <c r="Y165" s="18"/>
    </row>
    <row r="166" spans="25:25" ht="13" customHeight="1">
      <c r="Y166" s="18"/>
    </row>
    <row r="167" spans="25:25" ht="13" customHeight="1">
      <c r="Y167" s="19"/>
    </row>
    <row r="168" spans="25:25" ht="13" customHeight="1">
      <c r="Y168" s="19"/>
    </row>
    <row r="169" spans="25:25" ht="13" customHeight="1">
      <c r="Y169" s="19"/>
    </row>
    <row r="170" spans="25:25" ht="13" customHeight="1">
      <c r="Y170" s="19"/>
    </row>
    <row r="171" spans="25:25" ht="13" customHeight="1">
      <c r="Y171" s="18"/>
    </row>
    <row r="172" spans="25:25" ht="13" customHeight="1">
      <c r="Y172" s="19"/>
    </row>
    <row r="173" spans="25:25" ht="13" customHeight="1">
      <c r="Y173" s="19"/>
    </row>
    <row r="174" spans="25:25" ht="13" customHeight="1">
      <c r="Y174" s="19"/>
    </row>
    <row r="175" spans="25:25" ht="13" customHeight="1">
      <c r="Y175" s="19"/>
    </row>
    <row r="176" spans="25:25" ht="13" customHeight="1">
      <c r="Y176" s="18"/>
    </row>
    <row r="177" spans="25:25" ht="13" customHeight="1">
      <c r="Y177" s="18"/>
    </row>
    <row r="178" spans="25:25" ht="13" customHeight="1">
      <c r="Y178" s="18"/>
    </row>
    <row r="180" spans="25:25" ht="13" customHeight="1">
      <c r="Y180" s="18"/>
    </row>
    <row r="181" spans="25:25" ht="13" customHeight="1">
      <c r="Y181" s="18"/>
    </row>
    <row r="182" spans="25:25" ht="13" customHeight="1">
      <c r="Y182" s="19"/>
    </row>
    <row r="183" spans="25:25" ht="13" customHeight="1">
      <c r="Y183" s="19"/>
    </row>
    <row r="184" spans="25:25" ht="13" customHeight="1">
      <c r="Y184" s="19"/>
    </row>
    <row r="185" spans="25:25" ht="13" customHeight="1">
      <c r="Y185" s="19"/>
    </row>
    <row r="186" spans="25:25" ht="13" customHeight="1">
      <c r="Y186" s="18"/>
    </row>
    <row r="187" spans="25:25" ht="13" customHeight="1">
      <c r="Y187" s="19"/>
    </row>
    <row r="188" spans="25:25" ht="13" customHeight="1">
      <c r="Y188" s="19"/>
    </row>
    <row r="189" spans="25:25" ht="13" customHeight="1">
      <c r="Y189" s="19"/>
    </row>
    <row r="190" spans="25:25" ht="13" customHeight="1">
      <c r="Y190" s="19"/>
    </row>
    <row r="191" spans="25:25" ht="13" customHeight="1">
      <c r="Y191" s="18"/>
    </row>
    <row r="192" spans="25:25" ht="13" customHeight="1">
      <c r="Y192" s="18"/>
    </row>
    <row r="193" spans="25:25" ht="13" customHeight="1">
      <c r="Y193" s="18"/>
    </row>
    <row r="195" spans="25:25" ht="13" customHeight="1">
      <c r="Y195" s="18"/>
    </row>
    <row r="196" spans="25:25" ht="13" customHeight="1">
      <c r="Y196" s="18"/>
    </row>
    <row r="197" spans="25:25" ht="13" customHeight="1">
      <c r="Y197" s="19"/>
    </row>
    <row r="198" spans="25:25" ht="13" customHeight="1">
      <c r="Y198" s="19"/>
    </row>
    <row r="199" spans="25:25" ht="13" customHeight="1">
      <c r="Y199" s="19"/>
    </row>
    <row r="200" spans="25:25" ht="13" customHeight="1">
      <c r="Y200" s="19"/>
    </row>
    <row r="201" spans="25:25" ht="13" customHeight="1">
      <c r="Y201" s="18"/>
    </row>
    <row r="202" spans="25:25" ht="13" customHeight="1">
      <c r="Y202" s="19"/>
    </row>
    <row r="203" spans="25:25" ht="13" customHeight="1">
      <c r="Y203" s="19"/>
    </row>
    <row r="204" spans="25:25" ht="13" customHeight="1">
      <c r="Y204" s="19"/>
    </row>
    <row r="205" spans="25:25" ht="13" customHeight="1">
      <c r="Y205" s="19"/>
    </row>
    <row r="206" spans="25:25" ht="13" customHeight="1">
      <c r="Y206" s="18"/>
    </row>
    <row r="207" spans="25:25" ht="13" customHeight="1">
      <c r="Y207" s="18"/>
    </row>
    <row r="208" spans="25:25" ht="13" customHeight="1">
      <c r="Y208" s="18"/>
    </row>
    <row r="210" spans="25:25" ht="13" customHeight="1">
      <c r="Y210" s="18"/>
    </row>
    <row r="211" spans="25:25" ht="13" customHeight="1">
      <c r="Y211" s="18"/>
    </row>
    <row r="212" spans="25:25" ht="13" customHeight="1">
      <c r="Y212" s="19"/>
    </row>
    <row r="213" spans="25:25" ht="13" customHeight="1">
      <c r="Y213" s="19"/>
    </row>
    <row r="214" spans="25:25" ht="13" customHeight="1">
      <c r="Y214" s="19"/>
    </row>
    <row r="215" spans="25:25" ht="13" customHeight="1">
      <c r="Y215" s="19"/>
    </row>
    <row r="216" spans="25:25" ht="13" customHeight="1">
      <c r="Y216" s="18"/>
    </row>
    <row r="217" spans="25:25" ht="13" customHeight="1">
      <c r="Y217" s="19"/>
    </row>
    <row r="218" spans="25:25" ht="13" customHeight="1">
      <c r="Y218" s="19"/>
    </row>
    <row r="219" spans="25:25" ht="13" customHeight="1">
      <c r="Y219" s="19"/>
    </row>
    <row r="220" spans="25:25" ht="13" customHeight="1">
      <c r="Y220" s="19"/>
    </row>
    <row r="221" spans="25:25" ht="13" customHeight="1">
      <c r="Y221" s="18"/>
    </row>
    <row r="222" spans="25:25" ht="13" customHeight="1">
      <c r="Y222" s="18"/>
    </row>
    <row r="223" spans="25:25" ht="13" customHeight="1">
      <c r="Y223" s="18"/>
    </row>
    <row r="225" spans="25:25" ht="13" customHeight="1">
      <c r="Y225" s="18"/>
    </row>
    <row r="226" spans="25:25" ht="13" customHeight="1">
      <c r="Y226" s="18"/>
    </row>
    <row r="227" spans="25:25" ht="13" customHeight="1">
      <c r="Y227" s="19"/>
    </row>
    <row r="228" spans="25:25" ht="13" customHeight="1">
      <c r="Y228" s="19"/>
    </row>
    <row r="229" spans="25:25" ht="13" customHeight="1">
      <c r="Y229" s="19"/>
    </row>
    <row r="230" spans="25:25" ht="13" customHeight="1">
      <c r="Y230" s="19"/>
    </row>
    <row r="231" spans="25:25" ht="13" customHeight="1">
      <c r="Y231" s="18"/>
    </row>
    <row r="232" spans="25:25" ht="13" customHeight="1">
      <c r="Y232" s="19"/>
    </row>
    <row r="233" spans="25:25" ht="13" customHeight="1">
      <c r="Y233" s="19"/>
    </row>
    <row r="234" spans="25:25" ht="13" customHeight="1">
      <c r="Y234" s="19"/>
    </row>
    <row r="235" spans="25:25" ht="13" customHeight="1">
      <c r="Y235" s="19"/>
    </row>
    <row r="236" spans="25:25" ht="13" customHeight="1">
      <c r="Y236" s="18"/>
    </row>
    <row r="237" spans="25:25" ht="13" customHeight="1">
      <c r="Y237" s="18"/>
    </row>
    <row r="238" spans="25:25" ht="13" customHeight="1">
      <c r="Y238" s="18"/>
    </row>
    <row r="240" spans="25:25" ht="13" customHeight="1">
      <c r="Y240" s="18"/>
    </row>
    <row r="241" spans="25:25" ht="13" customHeight="1">
      <c r="Y241" s="18"/>
    </row>
    <row r="242" spans="25:25" ht="13" customHeight="1">
      <c r="Y242" s="19"/>
    </row>
    <row r="243" spans="25:25" ht="13" customHeight="1">
      <c r="Y243" s="19"/>
    </row>
    <row r="244" spans="25:25" ht="13" customHeight="1">
      <c r="Y244" s="19"/>
    </row>
    <row r="245" spans="25:25" ht="13" customHeight="1">
      <c r="Y245" s="19"/>
    </row>
    <row r="246" spans="25:25" ht="13" customHeight="1">
      <c r="Y246" s="18"/>
    </row>
    <row r="247" spans="25:25" ht="13" customHeight="1">
      <c r="Y247" s="19"/>
    </row>
    <row r="248" spans="25:25" ht="13" customHeight="1">
      <c r="Y248" s="19"/>
    </row>
    <row r="249" spans="25:25" ht="13" customHeight="1">
      <c r="Y249" s="19"/>
    </row>
    <row r="250" spans="25:25" ht="13" customHeight="1">
      <c r="Y250" s="19"/>
    </row>
    <row r="251" spans="25:25" ht="13" customHeight="1">
      <c r="Y251" s="18"/>
    </row>
    <row r="252" spans="25:25" ht="13" customHeight="1">
      <c r="Y252" s="18"/>
    </row>
    <row r="253" spans="25:25" ht="13" customHeight="1">
      <c r="Y253" s="18"/>
    </row>
    <row r="255" spans="25:25" ht="13" customHeight="1">
      <c r="Y255" s="18"/>
    </row>
    <row r="256" spans="25:25" ht="13" customHeight="1">
      <c r="Y256" s="18"/>
    </row>
    <row r="257" spans="25:25" ht="13" customHeight="1">
      <c r="Y257" s="19"/>
    </row>
    <row r="258" spans="25:25" ht="13" customHeight="1">
      <c r="Y258" s="19"/>
    </row>
    <row r="259" spans="25:25" ht="13" customHeight="1">
      <c r="Y259" s="19"/>
    </row>
    <row r="260" spans="25:25" ht="13" customHeight="1">
      <c r="Y260" s="19"/>
    </row>
    <row r="261" spans="25:25" ht="13" customHeight="1">
      <c r="Y261" s="18"/>
    </row>
    <row r="262" spans="25:25" ht="13" customHeight="1">
      <c r="Y262" s="19"/>
    </row>
    <row r="263" spans="25:25" ht="13" customHeight="1">
      <c r="Y263" s="19"/>
    </row>
    <row r="264" spans="25:25" ht="13" customHeight="1">
      <c r="Y264" s="19"/>
    </row>
    <row r="265" spans="25:25" ht="13" customHeight="1">
      <c r="Y265" s="19"/>
    </row>
    <row r="266" spans="25:25" ht="13" customHeight="1">
      <c r="Y266" s="18"/>
    </row>
    <row r="267" spans="25:25" ht="13" customHeight="1">
      <c r="Y267" s="18"/>
    </row>
    <row r="268" spans="25:25" ht="13" customHeight="1">
      <c r="Y268" s="18"/>
    </row>
    <row r="270" spans="25:25" ht="13" customHeight="1">
      <c r="Y270" s="18"/>
    </row>
    <row r="271" spans="25:25" ht="13" customHeight="1">
      <c r="Y271" s="18"/>
    </row>
    <row r="272" spans="25:25" ht="13" customHeight="1">
      <c r="Y272" s="19"/>
    </row>
    <row r="273" spans="25:25" ht="13" customHeight="1">
      <c r="Y273" s="19"/>
    </row>
    <row r="274" spans="25:25" ht="13" customHeight="1">
      <c r="Y274" s="19"/>
    </row>
    <row r="275" spans="25:25" ht="13" customHeight="1">
      <c r="Y275" s="19"/>
    </row>
    <row r="276" spans="25:25" ht="13" customHeight="1">
      <c r="Y276" s="18"/>
    </row>
    <row r="277" spans="25:25" ht="13" customHeight="1">
      <c r="Y277" s="19"/>
    </row>
    <row r="278" spans="25:25" ht="13" customHeight="1">
      <c r="Y278" s="19"/>
    </row>
    <row r="279" spans="25:25" ht="13" customHeight="1">
      <c r="Y279" s="19"/>
    </row>
    <row r="280" spans="25:25" ht="13" customHeight="1">
      <c r="Y280" s="19"/>
    </row>
    <row r="281" spans="25:25" ht="13" customHeight="1">
      <c r="Y281" s="18"/>
    </row>
    <row r="282" spans="25:25" ht="13" customHeight="1">
      <c r="Y282" s="18"/>
    </row>
    <row r="283" spans="25:25" ht="13" customHeight="1">
      <c r="Y283" s="18"/>
    </row>
    <row r="285" spans="25:25" ht="13" customHeight="1">
      <c r="Y285" s="18"/>
    </row>
    <row r="286" spans="25:25" ht="13" customHeight="1">
      <c r="Y286" s="18"/>
    </row>
    <row r="287" spans="25:25" ht="13" customHeight="1">
      <c r="Y287" s="19"/>
    </row>
    <row r="288" spans="25:25" ht="13" customHeight="1">
      <c r="Y288" s="19"/>
    </row>
    <row r="289" spans="25:27" ht="13" customHeight="1">
      <c r="Y289" s="5"/>
      <c r="Z289" s="13"/>
      <c r="AA289" s="13"/>
    </row>
    <row r="290" spans="25:27" ht="13" customHeight="1">
      <c r="Y290" s="5"/>
      <c r="Z290" s="13"/>
      <c r="AA290" s="13"/>
    </row>
    <row r="291" spans="25:27" ht="13" customHeight="1">
      <c r="Y291" s="5"/>
      <c r="Z291" s="13"/>
      <c r="AA291" s="13"/>
    </row>
    <row r="292" spans="25:27" ht="13" customHeight="1">
      <c r="Y292" s="5"/>
      <c r="Z292" s="13"/>
      <c r="AA292" s="13"/>
    </row>
    <row r="293" spans="25:27" ht="13" customHeight="1">
      <c r="Y293" s="5"/>
      <c r="Z293" s="13"/>
      <c r="AA293" s="13"/>
    </row>
    <row r="294" spans="25:27" ht="13" customHeight="1">
      <c r="Y294" s="5"/>
      <c r="Z294" s="13"/>
      <c r="AA294" s="13"/>
    </row>
    <row r="295" spans="25:27" ht="13" customHeight="1">
      <c r="Y295" s="5"/>
      <c r="Z295" s="13"/>
      <c r="AA295" s="13"/>
    </row>
    <row r="296" spans="25:27" ht="13" customHeight="1">
      <c r="Y296" s="5"/>
      <c r="Z296" s="13"/>
      <c r="AA296" s="13"/>
    </row>
    <row r="297" spans="25:27" ht="13" customHeight="1">
      <c r="Y297" s="5"/>
      <c r="Z297" s="13"/>
      <c r="AA297" s="13"/>
    </row>
    <row r="298" spans="25:27" ht="13" customHeight="1">
      <c r="Y298" s="4"/>
      <c r="Z298" s="12"/>
      <c r="AA298" s="13"/>
    </row>
    <row r="299" spans="25:27" ht="13" customHeight="1">
      <c r="Y299" s="12"/>
      <c r="Z299" s="12"/>
      <c r="AA299" s="13"/>
    </row>
    <row r="300" spans="25:27" ht="13" customHeight="1">
      <c r="Y300" s="4"/>
      <c r="Z300" s="12"/>
      <c r="AA300" s="13"/>
    </row>
    <row r="301" spans="25:27" ht="13" customHeight="1">
      <c r="Y301" s="4"/>
      <c r="Z301" s="12"/>
      <c r="AA301" s="13"/>
    </row>
    <row r="302" spans="25:27" ht="13" customHeight="1">
      <c r="Y302" s="4"/>
      <c r="Z302" s="12"/>
      <c r="AA302" s="13"/>
    </row>
    <row r="303" spans="25:27" ht="13" customHeight="1">
      <c r="Y303" s="5"/>
      <c r="Z303" s="13"/>
      <c r="AA303" s="13"/>
    </row>
    <row r="304" spans="25:27" ht="13" customHeight="1">
      <c r="Y304" s="5"/>
      <c r="Z304" s="13"/>
      <c r="AA304" s="13"/>
    </row>
    <row r="305" spans="25:27" ht="13" customHeight="1">
      <c r="Y305" s="5"/>
      <c r="Z305" s="13"/>
      <c r="AA305" s="13"/>
    </row>
    <row r="306" spans="25:27" ht="13" customHeight="1">
      <c r="Y306" s="5"/>
      <c r="Z306" s="13"/>
      <c r="AA306" s="13"/>
    </row>
    <row r="307" spans="25:27" ht="13" customHeight="1">
      <c r="Y307" s="5"/>
      <c r="Z307" s="13"/>
      <c r="AA307" s="13"/>
    </row>
    <row r="308" spans="25:27" ht="13" customHeight="1">
      <c r="Y308" s="5"/>
      <c r="Z308" s="13"/>
      <c r="AA308" s="13"/>
    </row>
    <row r="309" spans="25:27" ht="13" customHeight="1">
      <c r="Y309" s="5"/>
      <c r="Z309" s="13"/>
      <c r="AA309" s="13"/>
    </row>
    <row r="310" spans="25:27" ht="13" customHeight="1">
      <c r="Y310" s="5"/>
      <c r="Z310" s="13"/>
      <c r="AA310" s="13"/>
    </row>
    <row r="311" spans="25:27" ht="13" customHeight="1">
      <c r="Y311" s="5"/>
      <c r="Z311" s="13"/>
      <c r="AA311" s="13"/>
    </row>
    <row r="312" spans="25:27" ht="13" customHeight="1">
      <c r="Y312" s="5"/>
      <c r="Z312" s="13"/>
      <c r="AA312" s="13"/>
    </row>
    <row r="313" spans="25:27" ht="13" customHeight="1">
      <c r="Y313" s="5"/>
      <c r="Z313" s="13"/>
      <c r="AA313" s="13"/>
    </row>
  </sheetData>
  <mergeCells count="2">
    <mergeCell ref="D1:K1"/>
    <mergeCell ref="N1:U1"/>
  </mergeCells>
  <printOptions horizontalCentered="1" gridLines="1"/>
  <pageMargins left="0.7" right="0.7" top="0.75" bottom="0.75" header="0" footer="0"/>
  <pageSetup paperSize="9" fitToHeight="0" pageOrder="overThenDown" orientation="landscape" cellComments="atEnd"/>
  <ignoredErrors>
    <ignoredError sqref="B14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2:S109"/>
  <sheetViews>
    <sheetView zoomScale="140" zoomScaleNormal="140" workbookViewId="0">
      <selection activeCell="R63" sqref="R63"/>
    </sheetView>
  </sheetViews>
  <sheetFormatPr baseColWidth="10" defaultColWidth="14.5" defaultRowHeight="15.75" customHeight="1"/>
  <cols>
    <col min="1" max="26" width="4.83203125" customWidth="1"/>
  </cols>
  <sheetData>
    <row r="2" spans="1:19" ht="15.75" customHeight="1">
      <c r="B2" s="1">
        <v>1</v>
      </c>
      <c r="C2" s="1">
        <v>1</v>
      </c>
      <c r="D2" s="1">
        <v>1</v>
      </c>
      <c r="L2" s="1">
        <v>1</v>
      </c>
      <c r="M2" s="1">
        <v>1</v>
      </c>
      <c r="N2" s="1">
        <v>0</v>
      </c>
    </row>
    <row r="3" spans="1:19" ht="15.75" customHeight="1">
      <c r="B3" s="1">
        <v>1</v>
      </c>
      <c r="C3" s="1">
        <v>0</v>
      </c>
      <c r="D3" s="1">
        <v>0</v>
      </c>
      <c r="L3" s="1">
        <v>1</v>
      </c>
      <c r="M3" s="1">
        <v>1</v>
      </c>
      <c r="N3" s="1">
        <v>0</v>
      </c>
    </row>
    <row r="4" spans="1:19" ht="15.75" customHeight="1">
      <c r="B4" s="1">
        <v>1</v>
      </c>
      <c r="C4" s="1">
        <v>0</v>
      </c>
      <c r="L4" s="1">
        <v>1</v>
      </c>
      <c r="M4" s="1">
        <v>1</v>
      </c>
    </row>
    <row r="6" spans="1:19" ht="15.75" customHeight="1">
      <c r="A6">
        <f>BIN2DEC(reverse(_xlfn.CONCAT(B6:I6)))</f>
        <v>79</v>
      </c>
      <c r="B6">
        <f t="shared" ref="B6:D6" si="0">B2</f>
        <v>1</v>
      </c>
      <c r="C6">
        <f t="shared" si="0"/>
        <v>1</v>
      </c>
      <c r="D6">
        <f t="shared" si="0"/>
        <v>1</v>
      </c>
      <c r="E6">
        <f t="shared" ref="E6:G6" si="1">B3</f>
        <v>1</v>
      </c>
      <c r="F6">
        <f t="shared" si="1"/>
        <v>0</v>
      </c>
      <c r="G6">
        <f t="shared" si="1"/>
        <v>0</v>
      </c>
      <c r="H6">
        <f t="shared" ref="H6:I6" si="2">B4</f>
        <v>1</v>
      </c>
      <c r="I6" s="1">
        <f t="shared" si="2"/>
        <v>0</v>
      </c>
      <c r="K6">
        <f>BIN2DEC(reverse(_xlfn.CONCAT(L6:S6)))</f>
        <v>219</v>
      </c>
      <c r="L6">
        <f t="shared" ref="L6:N6" si="3">L2</f>
        <v>1</v>
      </c>
      <c r="M6">
        <f t="shared" si="3"/>
        <v>1</v>
      </c>
      <c r="N6">
        <f t="shared" si="3"/>
        <v>0</v>
      </c>
      <c r="O6">
        <f t="shared" ref="O6:Q6" si="4">L3</f>
        <v>1</v>
      </c>
      <c r="P6">
        <f t="shared" si="4"/>
        <v>1</v>
      </c>
      <c r="Q6">
        <f t="shared" si="4"/>
        <v>0</v>
      </c>
      <c r="R6">
        <f t="shared" ref="R6:S6" si="5">L4</f>
        <v>1</v>
      </c>
      <c r="S6" s="1">
        <f t="shared" si="5"/>
        <v>1</v>
      </c>
    </row>
    <row r="8" spans="1:19" ht="15.75" customHeight="1">
      <c r="B8" s="1">
        <v>1</v>
      </c>
      <c r="C8" s="1">
        <v>1</v>
      </c>
      <c r="D8" s="1">
        <v>0</v>
      </c>
      <c r="L8" s="1">
        <v>1</v>
      </c>
      <c r="M8" s="1">
        <v>1</v>
      </c>
      <c r="N8" s="1">
        <v>1</v>
      </c>
    </row>
    <row r="9" spans="1:19" ht="15.75" customHeight="1">
      <c r="B9" s="1">
        <v>1</v>
      </c>
      <c r="C9" s="1">
        <v>1</v>
      </c>
      <c r="D9" s="1">
        <v>0</v>
      </c>
      <c r="L9" s="1">
        <v>1</v>
      </c>
      <c r="M9" s="1">
        <v>0</v>
      </c>
      <c r="N9" s="1">
        <v>0</v>
      </c>
    </row>
    <row r="10" spans="1:19" ht="15.75" customHeight="1">
      <c r="B10" s="1">
        <v>1</v>
      </c>
      <c r="C10" s="1">
        <v>1</v>
      </c>
      <c r="L10" s="1">
        <v>1</v>
      </c>
      <c r="M10" s="1">
        <v>0</v>
      </c>
    </row>
    <row r="12" spans="1:19" ht="15.75" customHeight="1">
      <c r="A12">
        <f>BIN2DEC(reverse(_xlfn.CONCAT(B12:I12)))</f>
        <v>219</v>
      </c>
      <c r="B12">
        <f t="shared" ref="B12:D12" si="6">B8</f>
        <v>1</v>
      </c>
      <c r="C12">
        <f t="shared" si="6"/>
        <v>1</v>
      </c>
      <c r="D12">
        <f t="shared" si="6"/>
        <v>0</v>
      </c>
      <c r="E12">
        <f t="shared" ref="E12:G12" si="7">B9</f>
        <v>1</v>
      </c>
      <c r="F12">
        <f t="shared" si="7"/>
        <v>1</v>
      </c>
      <c r="G12">
        <f t="shared" si="7"/>
        <v>0</v>
      </c>
      <c r="H12">
        <f t="shared" ref="H12:I12" si="8">B10</f>
        <v>1</v>
      </c>
      <c r="I12" s="1">
        <f t="shared" si="8"/>
        <v>1</v>
      </c>
      <c r="K12">
        <f>BIN2DEC(reverse(_xlfn.CONCAT(L12:S12)))</f>
        <v>79</v>
      </c>
      <c r="L12">
        <f t="shared" ref="L12:N12" si="9">L8</f>
        <v>1</v>
      </c>
      <c r="M12">
        <f t="shared" si="9"/>
        <v>1</v>
      </c>
      <c r="N12">
        <f t="shared" si="9"/>
        <v>1</v>
      </c>
      <c r="O12">
        <f t="shared" ref="O12:Q12" si="10">L9</f>
        <v>1</v>
      </c>
      <c r="P12">
        <f t="shared" si="10"/>
        <v>0</v>
      </c>
      <c r="Q12">
        <f t="shared" si="10"/>
        <v>0</v>
      </c>
      <c r="R12">
        <f t="shared" ref="R12:S12" si="11">L10</f>
        <v>1</v>
      </c>
      <c r="S12" s="1">
        <f t="shared" si="11"/>
        <v>0</v>
      </c>
    </row>
    <row r="14" spans="1:19" ht="15.75" customHeight="1">
      <c r="B14" s="1">
        <v>1</v>
      </c>
      <c r="C14" s="1">
        <v>1</v>
      </c>
      <c r="D14" s="1">
        <v>1</v>
      </c>
      <c r="L14" s="1">
        <v>1</v>
      </c>
      <c r="M14" s="1">
        <v>0</v>
      </c>
      <c r="N14" s="1">
        <v>0</v>
      </c>
    </row>
    <row r="15" spans="1:19" ht="15.75" customHeight="1">
      <c r="B15" s="1">
        <v>0</v>
      </c>
      <c r="C15" s="1">
        <v>0</v>
      </c>
      <c r="D15" s="1">
        <v>0</v>
      </c>
      <c r="L15" s="1">
        <v>1</v>
      </c>
      <c r="M15" s="1">
        <v>0</v>
      </c>
      <c r="N15" s="1">
        <v>0</v>
      </c>
    </row>
    <row r="16" spans="1:19" ht="15.75" customHeight="1">
      <c r="B16" s="1">
        <v>0</v>
      </c>
      <c r="C16" s="1">
        <v>0</v>
      </c>
      <c r="L16" s="1">
        <v>1</v>
      </c>
      <c r="M16" s="1">
        <v>0</v>
      </c>
    </row>
    <row r="18" spans="1:19" ht="15.75" customHeight="1">
      <c r="A18">
        <f>BIN2DEC(reverse(_xlfn.CONCAT(B18:I18)))</f>
        <v>7</v>
      </c>
      <c r="B18">
        <f t="shared" ref="B18:D18" si="12">B14</f>
        <v>1</v>
      </c>
      <c r="C18">
        <f t="shared" si="12"/>
        <v>1</v>
      </c>
      <c r="D18">
        <f t="shared" si="12"/>
        <v>1</v>
      </c>
      <c r="E18">
        <f t="shared" ref="E18:G18" si="13">B15</f>
        <v>0</v>
      </c>
      <c r="F18">
        <f t="shared" si="13"/>
        <v>0</v>
      </c>
      <c r="G18">
        <f t="shared" si="13"/>
        <v>0</v>
      </c>
      <c r="H18">
        <f t="shared" ref="H18:I18" si="14">B16</f>
        <v>0</v>
      </c>
      <c r="I18" s="1">
        <f t="shared" si="14"/>
        <v>0</v>
      </c>
      <c r="K18">
        <f>BIN2DEC(reverse(_xlfn.CONCAT(L18:S18)))</f>
        <v>73</v>
      </c>
      <c r="L18">
        <f t="shared" ref="L18:N18" si="15">L14</f>
        <v>1</v>
      </c>
      <c r="M18">
        <f t="shared" si="15"/>
        <v>0</v>
      </c>
      <c r="N18">
        <f t="shared" si="15"/>
        <v>0</v>
      </c>
      <c r="O18">
        <f t="shared" ref="O18:Q18" si="16">L15</f>
        <v>1</v>
      </c>
      <c r="P18">
        <f t="shared" si="16"/>
        <v>0</v>
      </c>
      <c r="Q18">
        <f t="shared" si="16"/>
        <v>0</v>
      </c>
      <c r="R18">
        <f t="shared" ref="R18:S18" si="17">L16</f>
        <v>1</v>
      </c>
      <c r="S18" s="1">
        <f t="shared" si="17"/>
        <v>0</v>
      </c>
    </row>
    <row r="20" spans="1:19" ht="15.75" customHeight="1">
      <c r="B20" s="1">
        <v>1</v>
      </c>
      <c r="C20" s="1">
        <v>1</v>
      </c>
      <c r="D20" s="1">
        <v>1</v>
      </c>
      <c r="L20" s="1">
        <v>0</v>
      </c>
      <c r="M20" s="1">
        <v>0</v>
      </c>
      <c r="N20" s="1">
        <v>0</v>
      </c>
    </row>
    <row r="21" spans="1:19" ht="15.75" customHeight="1">
      <c r="B21" s="1">
        <v>0</v>
      </c>
      <c r="C21" s="1">
        <v>0</v>
      </c>
      <c r="D21" s="1">
        <v>0</v>
      </c>
      <c r="L21" s="1">
        <v>1</v>
      </c>
      <c r="M21" s="1">
        <v>1</v>
      </c>
      <c r="N21" s="1">
        <v>1</v>
      </c>
    </row>
    <row r="22" spans="1:19" ht="15.75" customHeight="1">
      <c r="B22" s="1">
        <v>1</v>
      </c>
      <c r="C22" s="1">
        <v>1</v>
      </c>
      <c r="L22" s="1">
        <v>0</v>
      </c>
      <c r="M22" s="1">
        <v>0</v>
      </c>
    </row>
    <row r="24" spans="1:19" ht="15.75" customHeight="1">
      <c r="A24">
        <f>BIN2DEC(reverse(_xlfn.CONCAT(B24:I24)))</f>
        <v>199</v>
      </c>
      <c r="B24">
        <f t="shared" ref="B24:D24" si="18">B20</f>
        <v>1</v>
      </c>
      <c r="C24">
        <f t="shared" si="18"/>
        <v>1</v>
      </c>
      <c r="D24">
        <f t="shared" si="18"/>
        <v>1</v>
      </c>
      <c r="E24">
        <f t="shared" ref="E24:G24" si="19">B21</f>
        <v>0</v>
      </c>
      <c r="F24">
        <f t="shared" si="19"/>
        <v>0</v>
      </c>
      <c r="G24">
        <f t="shared" si="19"/>
        <v>0</v>
      </c>
      <c r="H24">
        <f t="shared" ref="H24:I24" si="20">B22</f>
        <v>1</v>
      </c>
      <c r="I24" s="1">
        <f t="shared" si="20"/>
        <v>1</v>
      </c>
      <c r="K24">
        <f>BIN2DEC(reverse(_xlfn.CONCAT(L24:S24)))</f>
        <v>56</v>
      </c>
      <c r="L24">
        <f t="shared" ref="L24:N24" si="21">L20</f>
        <v>0</v>
      </c>
      <c r="M24">
        <f t="shared" si="21"/>
        <v>0</v>
      </c>
      <c r="N24">
        <f t="shared" si="21"/>
        <v>0</v>
      </c>
      <c r="O24">
        <f t="shared" ref="O24:Q24" si="22">L21</f>
        <v>1</v>
      </c>
      <c r="P24">
        <f t="shared" si="22"/>
        <v>1</v>
      </c>
      <c r="Q24">
        <f t="shared" si="22"/>
        <v>1</v>
      </c>
      <c r="R24">
        <f t="shared" ref="R24:S24" si="23">L22</f>
        <v>0</v>
      </c>
      <c r="S24" s="1">
        <f t="shared" si="23"/>
        <v>0</v>
      </c>
    </row>
    <row r="26" spans="1:19" ht="15.75" customHeight="1">
      <c r="A26" s="18"/>
      <c r="B26" s="5">
        <v>1</v>
      </c>
      <c r="C26" s="4">
        <v>0</v>
      </c>
      <c r="D26" s="5">
        <v>1</v>
      </c>
      <c r="E26" s="18"/>
      <c r="F26" s="18"/>
      <c r="G26" s="18"/>
      <c r="H26" s="18"/>
      <c r="I26" s="18"/>
      <c r="J26" s="18"/>
      <c r="K26" s="18"/>
      <c r="L26" s="5">
        <v>0</v>
      </c>
      <c r="M26" s="4">
        <v>1</v>
      </c>
      <c r="N26" s="5">
        <v>0</v>
      </c>
      <c r="O26" s="18"/>
      <c r="P26" s="18"/>
      <c r="Q26" s="18"/>
      <c r="R26" s="18"/>
      <c r="S26" s="18"/>
    </row>
    <row r="27" spans="1:19" ht="15.75" customHeight="1">
      <c r="A27" s="18"/>
      <c r="B27" s="5">
        <v>0</v>
      </c>
      <c r="C27" s="5">
        <v>0</v>
      </c>
      <c r="D27" s="4">
        <v>1</v>
      </c>
      <c r="E27" s="18"/>
      <c r="F27" s="18"/>
      <c r="G27" s="18"/>
      <c r="H27" s="18"/>
      <c r="I27" s="18"/>
      <c r="J27" s="18"/>
      <c r="K27" s="18"/>
      <c r="L27" s="5">
        <v>1</v>
      </c>
      <c r="M27" s="5">
        <v>1</v>
      </c>
      <c r="N27" s="5">
        <v>1</v>
      </c>
      <c r="O27" s="18"/>
      <c r="P27" s="18"/>
      <c r="Q27" s="18"/>
      <c r="R27" s="18"/>
      <c r="S27" s="18"/>
    </row>
    <row r="28" spans="1:19" ht="15.75" customHeight="1">
      <c r="A28" s="18"/>
      <c r="B28" s="5">
        <v>1</v>
      </c>
      <c r="C28" s="4">
        <v>0</v>
      </c>
      <c r="D28" s="18"/>
      <c r="E28" s="18"/>
      <c r="F28" s="18"/>
      <c r="G28" s="18"/>
      <c r="H28" s="18"/>
      <c r="I28" s="18"/>
      <c r="J28" s="18"/>
      <c r="K28" s="18"/>
      <c r="L28" s="5">
        <v>0</v>
      </c>
      <c r="M28" s="4">
        <v>1</v>
      </c>
      <c r="N28" s="18"/>
      <c r="O28" s="18"/>
      <c r="P28" s="18"/>
      <c r="Q28" s="18"/>
      <c r="R28" s="18"/>
      <c r="S28" s="18"/>
    </row>
    <row r="29" spans="1:19" ht="15.75" customHeight="1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</row>
    <row r="30" spans="1:19" ht="15.75" customHeight="1">
      <c r="A30" s="5">
        <f>BIN2DEC(reverse(_xlfn.CONCAT(B30:I30)))</f>
        <v>101</v>
      </c>
      <c r="B30" s="5">
        <f t="shared" ref="B30:D30" si="24">B26</f>
        <v>1</v>
      </c>
      <c r="C30" s="5">
        <f t="shared" si="24"/>
        <v>0</v>
      </c>
      <c r="D30" s="5">
        <f t="shared" si="24"/>
        <v>1</v>
      </c>
      <c r="E30" s="5">
        <f t="shared" ref="E30:G30" si="25">B27</f>
        <v>0</v>
      </c>
      <c r="F30" s="5">
        <f t="shared" si="25"/>
        <v>0</v>
      </c>
      <c r="G30" s="5">
        <f t="shared" si="25"/>
        <v>1</v>
      </c>
      <c r="H30" s="5">
        <f t="shared" ref="H30:I30" si="26">B28</f>
        <v>1</v>
      </c>
      <c r="I30" s="5">
        <f t="shared" si="26"/>
        <v>0</v>
      </c>
      <c r="J30" s="18"/>
      <c r="K30" s="5">
        <f>BIN2DEC(reverse(_xlfn.CONCAT(L30:S30)))</f>
        <v>186</v>
      </c>
      <c r="L30" s="5">
        <f t="shared" ref="L30:N30" si="27">L26</f>
        <v>0</v>
      </c>
      <c r="M30" s="5">
        <f t="shared" si="27"/>
        <v>1</v>
      </c>
      <c r="N30" s="5">
        <f t="shared" si="27"/>
        <v>0</v>
      </c>
      <c r="O30" s="5">
        <f t="shared" ref="O30:Q30" si="28">L27</f>
        <v>1</v>
      </c>
      <c r="P30" s="5">
        <f t="shared" si="28"/>
        <v>1</v>
      </c>
      <c r="Q30" s="5">
        <f t="shared" si="28"/>
        <v>1</v>
      </c>
      <c r="R30" s="5">
        <f t="shared" ref="R30:S30" si="29">L28</f>
        <v>0</v>
      </c>
      <c r="S30" s="5">
        <f t="shared" si="29"/>
        <v>1</v>
      </c>
    </row>
    <row r="32" spans="1:19" ht="15.75" customHeight="1">
      <c r="A32" s="18"/>
      <c r="B32" s="5">
        <v>1</v>
      </c>
      <c r="C32" s="5">
        <v>1</v>
      </c>
      <c r="D32" s="5">
        <v>1</v>
      </c>
      <c r="E32" s="18"/>
      <c r="F32" s="18"/>
      <c r="G32" s="18"/>
      <c r="H32" s="18"/>
      <c r="I32" s="18"/>
      <c r="J32" s="18"/>
      <c r="K32" s="18"/>
      <c r="L32" s="4">
        <v>1</v>
      </c>
      <c r="M32" s="5">
        <v>0</v>
      </c>
      <c r="N32" s="4">
        <v>1</v>
      </c>
      <c r="O32" s="18"/>
      <c r="P32" s="18"/>
      <c r="Q32" s="18"/>
      <c r="R32" s="18"/>
      <c r="S32" s="18"/>
    </row>
    <row r="33" spans="1:19" ht="15.75" customHeight="1">
      <c r="A33" s="18"/>
      <c r="B33" s="5">
        <v>0</v>
      </c>
      <c r="C33" s="4">
        <v>1</v>
      </c>
      <c r="D33" s="4">
        <v>1</v>
      </c>
      <c r="E33" s="18"/>
      <c r="F33" s="18"/>
      <c r="G33" s="18"/>
      <c r="H33" s="18"/>
      <c r="I33" s="18"/>
      <c r="J33" s="18"/>
      <c r="K33" s="18"/>
      <c r="L33" s="5">
        <v>1</v>
      </c>
      <c r="M33" s="4">
        <v>0</v>
      </c>
      <c r="N33" s="5">
        <v>1</v>
      </c>
      <c r="O33" s="18"/>
      <c r="P33" s="18"/>
      <c r="Q33" s="18"/>
      <c r="R33" s="18"/>
      <c r="S33" s="18"/>
    </row>
    <row r="34" spans="1:19" ht="15.75" customHeight="1">
      <c r="A34" s="18"/>
      <c r="B34" s="5">
        <v>1</v>
      </c>
      <c r="C34" s="5">
        <v>1</v>
      </c>
      <c r="D34" s="18"/>
      <c r="E34" s="18"/>
      <c r="F34" s="18"/>
      <c r="G34" s="18"/>
      <c r="H34" s="18"/>
      <c r="I34" s="18"/>
      <c r="J34" s="18"/>
      <c r="K34" s="18"/>
      <c r="L34" s="4">
        <v>1</v>
      </c>
      <c r="M34" s="5">
        <v>0</v>
      </c>
      <c r="N34" s="18"/>
      <c r="O34" s="18"/>
      <c r="P34" s="18"/>
      <c r="Q34" s="18"/>
      <c r="R34" s="18"/>
      <c r="S34" s="18"/>
    </row>
    <row r="35" spans="1:19" ht="15.75" customHeight="1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</row>
    <row r="36" spans="1:19" ht="15.75" customHeight="1">
      <c r="A36" s="5">
        <f>BIN2DEC(reverse(_xlfn.CONCAT(B36:I36)))</f>
        <v>247</v>
      </c>
      <c r="B36" s="5">
        <f t="shared" ref="B36:D36" si="30">B32</f>
        <v>1</v>
      </c>
      <c r="C36" s="5">
        <f t="shared" si="30"/>
        <v>1</v>
      </c>
      <c r="D36" s="5">
        <f t="shared" si="30"/>
        <v>1</v>
      </c>
      <c r="E36" s="5">
        <f t="shared" ref="E36:G36" si="31">B33</f>
        <v>0</v>
      </c>
      <c r="F36" s="5">
        <f t="shared" si="31"/>
        <v>1</v>
      </c>
      <c r="G36" s="5">
        <f t="shared" si="31"/>
        <v>1</v>
      </c>
      <c r="H36" s="5">
        <f t="shared" ref="H36:I36" si="32">B34</f>
        <v>1</v>
      </c>
      <c r="I36" s="5">
        <f t="shared" si="32"/>
        <v>1</v>
      </c>
      <c r="J36" s="18"/>
      <c r="K36" s="5">
        <f>BIN2DEC(reverse(_xlfn.CONCAT(L36:S36)))</f>
        <v>109</v>
      </c>
      <c r="L36" s="5">
        <f t="shared" ref="L36:N36" si="33">L32</f>
        <v>1</v>
      </c>
      <c r="M36" s="5">
        <f t="shared" si="33"/>
        <v>0</v>
      </c>
      <c r="N36" s="5">
        <f t="shared" si="33"/>
        <v>1</v>
      </c>
      <c r="O36" s="5">
        <f t="shared" ref="O36:Q36" si="34">L33</f>
        <v>1</v>
      </c>
      <c r="P36" s="5">
        <f t="shared" si="34"/>
        <v>0</v>
      </c>
      <c r="Q36" s="5">
        <f t="shared" si="34"/>
        <v>1</v>
      </c>
      <c r="R36" s="5">
        <f t="shared" ref="R36:S36" si="35">L34</f>
        <v>1</v>
      </c>
      <c r="S36" s="5">
        <f t="shared" si="35"/>
        <v>0</v>
      </c>
    </row>
    <row r="38" spans="1:19" ht="15.75" customHeight="1">
      <c r="A38" s="18"/>
      <c r="B38" s="4">
        <v>0</v>
      </c>
      <c r="C38" s="5">
        <v>1</v>
      </c>
      <c r="D38" s="5">
        <v>1</v>
      </c>
      <c r="E38" s="18"/>
      <c r="F38" s="18"/>
      <c r="G38" s="18"/>
      <c r="H38" s="18"/>
      <c r="I38" s="18"/>
      <c r="J38" s="18"/>
      <c r="K38" s="18"/>
      <c r="L38" s="5">
        <v>0</v>
      </c>
      <c r="M38" s="5">
        <v>0</v>
      </c>
      <c r="N38" s="4">
        <v>1</v>
      </c>
      <c r="O38" s="18"/>
      <c r="P38" s="18"/>
      <c r="Q38" s="18"/>
      <c r="R38" s="18"/>
      <c r="S38" s="18"/>
    </row>
    <row r="39" spans="1:19" ht="15.75" customHeight="1">
      <c r="A39" s="18"/>
      <c r="B39" s="5">
        <v>0</v>
      </c>
      <c r="C39" s="5">
        <v>0</v>
      </c>
      <c r="D39" s="5">
        <v>0</v>
      </c>
      <c r="E39" s="18"/>
      <c r="F39" s="18"/>
      <c r="G39" s="18"/>
      <c r="H39" s="18"/>
      <c r="I39" s="18"/>
      <c r="J39" s="18"/>
      <c r="K39" s="18"/>
      <c r="L39" s="4">
        <v>0</v>
      </c>
      <c r="M39" s="4">
        <v>0</v>
      </c>
      <c r="N39" s="4">
        <v>0</v>
      </c>
      <c r="O39" s="18"/>
      <c r="P39" s="18"/>
      <c r="Q39" s="18"/>
      <c r="R39" s="18"/>
      <c r="S39" s="18"/>
    </row>
    <row r="40" spans="1:19" ht="15.75" customHeight="1">
      <c r="A40" s="18"/>
      <c r="B40" s="5">
        <v>1</v>
      </c>
      <c r="C40" s="4">
        <v>0</v>
      </c>
      <c r="D40" s="18"/>
      <c r="E40" s="18"/>
      <c r="F40" s="18"/>
      <c r="G40" s="18"/>
      <c r="H40" s="18"/>
      <c r="I40" s="18"/>
      <c r="J40" s="18"/>
      <c r="K40" s="18"/>
      <c r="L40" s="4">
        <v>1</v>
      </c>
      <c r="M40" s="4">
        <v>1</v>
      </c>
      <c r="N40" s="18"/>
      <c r="O40" s="18"/>
      <c r="P40" s="18"/>
      <c r="Q40" s="18"/>
      <c r="R40" s="18"/>
      <c r="S40" s="18"/>
    </row>
    <row r="41" spans="1:19" ht="15.75" customHeight="1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</row>
    <row r="42" spans="1:19" ht="15.75" customHeight="1">
      <c r="A42" s="5">
        <f>BIN2DEC(reverse(_xlfn.CONCAT(B42:I42)))</f>
        <v>70</v>
      </c>
      <c r="B42" s="5">
        <f t="shared" ref="B42:D42" si="36">B38</f>
        <v>0</v>
      </c>
      <c r="C42" s="5">
        <f t="shared" si="36"/>
        <v>1</v>
      </c>
      <c r="D42" s="5">
        <f t="shared" si="36"/>
        <v>1</v>
      </c>
      <c r="E42" s="5">
        <f t="shared" ref="E42:G42" si="37">B39</f>
        <v>0</v>
      </c>
      <c r="F42" s="5">
        <f t="shared" si="37"/>
        <v>0</v>
      </c>
      <c r="G42" s="5">
        <f t="shared" si="37"/>
        <v>0</v>
      </c>
      <c r="H42" s="5">
        <f t="shared" ref="H42:I42" si="38">B40</f>
        <v>1</v>
      </c>
      <c r="I42" s="5">
        <f t="shared" si="38"/>
        <v>0</v>
      </c>
      <c r="J42" s="18"/>
      <c r="K42" s="5">
        <f>BIN2DEC(reverse(_xlfn.CONCAT(L42:S42)))</f>
        <v>196</v>
      </c>
      <c r="L42" s="5">
        <f t="shared" ref="L42:N42" si="39">L38</f>
        <v>0</v>
      </c>
      <c r="M42" s="5">
        <f t="shared" si="39"/>
        <v>0</v>
      </c>
      <c r="N42" s="5">
        <f t="shared" si="39"/>
        <v>1</v>
      </c>
      <c r="O42" s="5">
        <f t="shared" ref="O42:Q42" si="40">L39</f>
        <v>0</v>
      </c>
      <c r="P42" s="5">
        <f t="shared" si="40"/>
        <v>0</v>
      </c>
      <c r="Q42" s="5">
        <f t="shared" si="40"/>
        <v>0</v>
      </c>
      <c r="R42" s="5">
        <f t="shared" ref="R42:S42" si="41">L40</f>
        <v>1</v>
      </c>
      <c r="S42" s="5">
        <f t="shared" si="41"/>
        <v>1</v>
      </c>
    </row>
    <row r="44" spans="1:19" ht="15.75" customHeight="1">
      <c r="A44" s="18"/>
      <c r="B44" s="5">
        <v>1</v>
      </c>
      <c r="C44" s="5">
        <v>1</v>
      </c>
      <c r="D44" s="5">
        <v>1</v>
      </c>
      <c r="E44" s="18"/>
      <c r="F44" s="18"/>
      <c r="G44" s="18"/>
      <c r="H44" s="18"/>
      <c r="I44" s="18"/>
      <c r="J44" s="18"/>
      <c r="K44" s="18"/>
      <c r="L44" s="5">
        <v>0</v>
      </c>
      <c r="M44" s="5">
        <v>0</v>
      </c>
      <c r="N44" s="5">
        <v>0</v>
      </c>
      <c r="O44" s="18"/>
      <c r="P44" s="18"/>
      <c r="Q44" s="18"/>
      <c r="R44" s="18"/>
      <c r="S44" s="18"/>
    </row>
    <row r="45" spans="1:19" ht="15.75" customHeight="1">
      <c r="A45" s="18"/>
      <c r="B45" s="5">
        <v>0</v>
      </c>
      <c r="C45" s="5">
        <v>0</v>
      </c>
      <c r="D45" s="5">
        <v>0</v>
      </c>
      <c r="E45" s="18"/>
      <c r="F45" s="18"/>
      <c r="G45" s="18"/>
      <c r="H45" s="18"/>
      <c r="I45" s="18"/>
      <c r="J45" s="18"/>
      <c r="K45" s="18"/>
      <c r="L45" s="5">
        <v>1</v>
      </c>
      <c r="M45" s="5">
        <v>1</v>
      </c>
      <c r="N45" s="5">
        <v>1</v>
      </c>
      <c r="O45" s="18"/>
      <c r="P45" s="18"/>
      <c r="Q45" s="18"/>
      <c r="R45" s="18"/>
      <c r="S45" s="18"/>
    </row>
    <row r="46" spans="1:19" ht="15.75" customHeight="1">
      <c r="A46" s="18"/>
      <c r="B46" s="5">
        <v>1</v>
      </c>
      <c r="C46" s="5">
        <v>1</v>
      </c>
      <c r="D46" s="18"/>
      <c r="E46" s="18"/>
      <c r="F46" s="18"/>
      <c r="G46" s="18"/>
      <c r="H46" s="18"/>
      <c r="I46" s="18"/>
      <c r="J46" s="18"/>
      <c r="K46" s="18"/>
      <c r="L46" s="5">
        <v>0</v>
      </c>
      <c r="M46" s="5">
        <v>0</v>
      </c>
      <c r="N46" s="18"/>
      <c r="O46" s="18"/>
      <c r="P46" s="18"/>
      <c r="Q46" s="18"/>
      <c r="R46" s="18"/>
      <c r="S46" s="18"/>
    </row>
    <row r="47" spans="1:19" ht="15.75" customHeigh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</row>
    <row r="48" spans="1:19" ht="15.75" customHeight="1">
      <c r="A48" s="5">
        <f>BIN2DEC(reverse(_xlfn.CONCAT(B48:I48)))</f>
        <v>199</v>
      </c>
      <c r="B48" s="5">
        <f t="shared" ref="B48:D48" si="42">B44</f>
        <v>1</v>
      </c>
      <c r="C48" s="5">
        <f t="shared" si="42"/>
        <v>1</v>
      </c>
      <c r="D48" s="5">
        <f t="shared" si="42"/>
        <v>1</v>
      </c>
      <c r="E48" s="5">
        <f t="shared" ref="E48:G48" si="43">B45</f>
        <v>0</v>
      </c>
      <c r="F48" s="5">
        <f t="shared" si="43"/>
        <v>0</v>
      </c>
      <c r="G48" s="5">
        <f t="shared" si="43"/>
        <v>0</v>
      </c>
      <c r="H48" s="5">
        <f t="shared" ref="H48:I48" si="44">B46</f>
        <v>1</v>
      </c>
      <c r="I48" s="5">
        <f t="shared" si="44"/>
        <v>1</v>
      </c>
      <c r="J48" s="18"/>
      <c r="K48" s="5">
        <f>BIN2DEC(reverse(_xlfn.CONCAT(L48:S48)))</f>
        <v>56</v>
      </c>
      <c r="L48" s="5">
        <f t="shared" ref="L48:N48" si="45">L44</f>
        <v>0</v>
      </c>
      <c r="M48" s="5">
        <f t="shared" si="45"/>
        <v>0</v>
      </c>
      <c r="N48" s="5">
        <f t="shared" si="45"/>
        <v>0</v>
      </c>
      <c r="O48" s="5">
        <f t="shared" ref="O48:Q48" si="46">L45</f>
        <v>1</v>
      </c>
      <c r="P48" s="5">
        <f t="shared" si="46"/>
        <v>1</v>
      </c>
      <c r="Q48" s="5">
        <f t="shared" si="46"/>
        <v>1</v>
      </c>
      <c r="R48" s="5">
        <f t="shared" ref="R48:S48" si="47">L46</f>
        <v>0</v>
      </c>
      <c r="S48" s="5">
        <f t="shared" si="47"/>
        <v>0</v>
      </c>
    </row>
    <row r="50" spans="1:17" ht="15.75" customHeight="1">
      <c r="A50" s="1" t="s">
        <v>46</v>
      </c>
      <c r="B50" t="str">
        <f>_xlfn.TEXTJOIN(",",TRUE,A1:A48)</f>
        <v>79,219,7,199,101,247,70,199</v>
      </c>
      <c r="C50" s="1" t="s">
        <v>47</v>
      </c>
      <c r="K50" s="1" t="s">
        <v>46</v>
      </c>
      <c r="L50" t="str">
        <f>_xlfn.TEXTJOIN(",",TRUE,K1:K48)</f>
        <v>219,79,73,56,186,109,196,56</v>
      </c>
      <c r="M50" s="1" t="s">
        <v>47</v>
      </c>
    </row>
    <row r="51" spans="1:17" ht="15.75" customHeight="1">
      <c r="A51" t="str">
        <f>_xlfn.CONCAT(A50:C50)</f>
        <v>[79,219,7,199,101,247,70,199]</v>
      </c>
      <c r="K51" t="str">
        <f>_xlfn.CONCAT(K50:M50)</f>
        <v>[219,79,73,56,186,109,196,56]</v>
      </c>
    </row>
    <row r="54" spans="1:17" ht="15.75" customHeight="1">
      <c r="B54" s="1" t="s">
        <v>50</v>
      </c>
      <c r="E54" s="1"/>
    </row>
    <row r="55" spans="1:17" ht="15.75" customHeight="1">
      <c r="B55" s="1">
        <v>0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</row>
    <row r="56" spans="1:17" ht="15.75" customHeight="1">
      <c r="B56" s="1" t="s">
        <v>118</v>
      </c>
      <c r="J56" s="1" t="s">
        <v>119</v>
      </c>
    </row>
    <row r="57" spans="1:17" ht="15.75" customHeight="1">
      <c r="A57">
        <f ca="1">IFERROR(__xludf.DUMMYFUNCTION("split(B89,"","")"),0)</f>
        <v>0</v>
      </c>
      <c r="B57">
        <f ca="1">IFERROR(__xludf.DUMMYFUNCTION("""COMPUTED_VALUE"""),0)</f>
        <v>0</v>
      </c>
      <c r="C57">
        <f ca="1">IFERROR(__xludf.DUMMYFUNCTION("""COMPUTED_VALUE"""),255)</f>
        <v>255</v>
      </c>
      <c r="D57">
        <f ca="1">IFERROR(__xludf.DUMMYFUNCTION("""COMPUTED_VALUE"""),0)</f>
        <v>0</v>
      </c>
      <c r="E57">
        <f ca="1">IFERROR(__xludf.DUMMYFUNCTION("""COMPUTED_VALUE"""),254)</f>
        <v>254</v>
      </c>
      <c r="F57">
        <f ca="1">IFERROR(__xludf.DUMMYFUNCTION("""COMPUTED_VALUE"""),0)</f>
        <v>0</v>
      </c>
      <c r="G57">
        <f ca="1">IFERROR(__xludf.DUMMYFUNCTION("""COMPUTED_VALUE"""),0)</f>
        <v>0</v>
      </c>
      <c r="H57">
        <f ca="1">IFERROR(__xludf.DUMMYFUNCTION("""COMPUTED_VALUE"""),0)</f>
        <v>0</v>
      </c>
      <c r="J57">
        <f ca="1">IFERROR(__xludf.DUMMYFUNCTION("split(J89,"","")"),7)</f>
        <v>7</v>
      </c>
      <c r="K57">
        <f ca="1">IFERROR(__xludf.DUMMYFUNCTION("""COMPUTED_VALUE"""),0)</f>
        <v>0</v>
      </c>
      <c r="L57">
        <f ca="1">IFERROR(__xludf.DUMMYFUNCTION("""COMPUTED_VALUE"""),8)</f>
        <v>8</v>
      </c>
      <c r="M57">
        <f ca="1">IFERROR(__xludf.DUMMYFUNCTION("""COMPUTED_VALUE"""),1)</f>
        <v>1</v>
      </c>
      <c r="N57">
        <f ca="1">IFERROR(__xludf.DUMMYFUNCTION("""COMPUTED_VALUE"""),7)</f>
        <v>7</v>
      </c>
      <c r="O57">
        <f ca="1">IFERROR(__xludf.DUMMYFUNCTION("""COMPUTED_VALUE"""),9)</f>
        <v>9</v>
      </c>
      <c r="P57">
        <f ca="1">IFERROR(__xludf.DUMMYFUNCTION("""COMPUTED_VALUE"""),7)</f>
        <v>7</v>
      </c>
      <c r="Q57">
        <f ca="1">IFERROR(__xludf.DUMMYFUNCTION("""COMPUTED_VALUE"""),7)</f>
        <v>7</v>
      </c>
    </row>
    <row r="58" spans="1:17" ht="15.75" customHeight="1">
      <c r="A58" t="s">
        <v>25</v>
      </c>
      <c r="J58" t="s">
        <v>24</v>
      </c>
      <c r="K58" t="s">
        <v>127</v>
      </c>
      <c r="L58" t="s">
        <v>54</v>
      </c>
      <c r="M58" t="s">
        <v>55</v>
      </c>
    </row>
    <row r="59" spans="1:17" ht="15.75" customHeight="1">
      <c r="A59">
        <f t="array" aca="1" ref="A59:A66" ca="1">TRANSPOSE(A57:H57)</f>
        <v>0</v>
      </c>
      <c r="B59" s="1">
        <v>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>
        <f t="array" aca="1" ref="J59:J66" ca="1">TRANSPOSE(J57:Q57)</f>
        <v>7</v>
      </c>
      <c r="K59">
        <f t="shared" ref="K59:K65" ca="1" si="48">IF(J69&gt;=J59, 1, 0)</f>
        <v>0</v>
      </c>
      <c r="L59" s="30">
        <v>0</v>
      </c>
      <c r="M59">
        <f t="shared" ref="M59:M66" ca="1" si="49">IF(_xlfn.XOR(K59,L59),1,0)</f>
        <v>0</v>
      </c>
    </row>
    <row r="60" spans="1:17" ht="15.75" customHeight="1">
      <c r="A60">
        <f ca="1"/>
        <v>0</v>
      </c>
      <c r="B60" s="1">
        <v>0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>
        <f ca="1"/>
        <v>0</v>
      </c>
      <c r="K60">
        <f t="shared" ca="1" si="48"/>
        <v>1</v>
      </c>
      <c r="L60" s="30">
        <v>1</v>
      </c>
      <c r="M60" s="29">
        <f t="shared" ca="1" si="49"/>
        <v>0</v>
      </c>
    </row>
    <row r="61" spans="1:17" ht="15.75" customHeight="1">
      <c r="A61">
        <f ca="1"/>
        <v>255</v>
      </c>
      <c r="B61" s="1">
        <v>1</v>
      </c>
      <c r="C61" s="1">
        <v>1</v>
      </c>
      <c r="D61" s="1">
        <v>1</v>
      </c>
      <c r="E61" s="1">
        <v>1</v>
      </c>
      <c r="F61" s="1">
        <v>1</v>
      </c>
      <c r="G61" s="1">
        <v>1</v>
      </c>
      <c r="H61" s="1">
        <v>1</v>
      </c>
      <c r="I61" s="1">
        <v>1</v>
      </c>
      <c r="J61">
        <f ca="1"/>
        <v>8</v>
      </c>
      <c r="K61">
        <f t="shared" ca="1" si="48"/>
        <v>1</v>
      </c>
      <c r="L61" s="30">
        <v>0</v>
      </c>
      <c r="M61" s="29">
        <f t="shared" ca="1" si="49"/>
        <v>1</v>
      </c>
    </row>
    <row r="62" spans="1:17" ht="15.75" customHeight="1">
      <c r="A62">
        <f ca="1"/>
        <v>0</v>
      </c>
      <c r="B62" s="1">
        <v>0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>
        <f ca="1"/>
        <v>1</v>
      </c>
      <c r="K62">
        <f t="shared" ca="1" si="48"/>
        <v>0</v>
      </c>
      <c r="L62" s="30">
        <v>0</v>
      </c>
      <c r="M62" s="29">
        <f t="shared" ca="1" si="49"/>
        <v>0</v>
      </c>
    </row>
    <row r="63" spans="1:17" ht="15.75" customHeight="1">
      <c r="A63">
        <f ca="1"/>
        <v>254</v>
      </c>
      <c r="B63" s="1">
        <v>0</v>
      </c>
      <c r="C63" s="1">
        <v>1</v>
      </c>
      <c r="D63" s="1">
        <v>1</v>
      </c>
      <c r="E63" s="1">
        <v>1</v>
      </c>
      <c r="F63" s="1">
        <v>1</v>
      </c>
      <c r="G63" s="1">
        <v>1</v>
      </c>
      <c r="H63" s="1">
        <v>1</v>
      </c>
      <c r="I63" s="1">
        <v>1</v>
      </c>
      <c r="J63">
        <f ca="1"/>
        <v>7</v>
      </c>
      <c r="K63">
        <f t="shared" ca="1" si="48"/>
        <v>1</v>
      </c>
      <c r="L63" s="30">
        <v>1</v>
      </c>
      <c r="M63" s="29">
        <f t="shared" ca="1" si="49"/>
        <v>0</v>
      </c>
    </row>
    <row r="64" spans="1:17" ht="15.75" customHeight="1">
      <c r="A64">
        <f ca="1"/>
        <v>0</v>
      </c>
      <c r="B64" s="1">
        <v>0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>
        <f ca="1"/>
        <v>9</v>
      </c>
      <c r="K64">
        <f t="shared" ca="1" si="48"/>
        <v>0</v>
      </c>
      <c r="L64" s="30">
        <v>0</v>
      </c>
      <c r="M64" s="29">
        <f t="shared" ca="1" si="49"/>
        <v>0</v>
      </c>
    </row>
    <row r="65" spans="1:13" ht="15.75" customHeight="1">
      <c r="A65">
        <f ca="1"/>
        <v>0</v>
      </c>
      <c r="B65" s="1">
        <v>0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>
        <f ca="1"/>
        <v>7</v>
      </c>
      <c r="K65">
        <f t="shared" ca="1" si="48"/>
        <v>0</v>
      </c>
      <c r="L65" s="30">
        <v>1</v>
      </c>
      <c r="M65" s="29">
        <f t="shared" ca="1" si="49"/>
        <v>1</v>
      </c>
    </row>
    <row r="66" spans="1:13" ht="13">
      <c r="A66">
        <f ca="1"/>
        <v>0</v>
      </c>
      <c r="B66" s="1">
        <v>0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>
        <f ca="1"/>
        <v>7</v>
      </c>
      <c r="K66">
        <f t="shared" ref="K66" ca="1" si="50">IF(J76&gt;=J66, 1, 0)</f>
        <v>0</v>
      </c>
      <c r="L66" s="30">
        <v>1</v>
      </c>
      <c r="M66" s="29">
        <f t="shared" ca="1" si="49"/>
        <v>1</v>
      </c>
    </row>
    <row r="67" spans="1:13" ht="13">
      <c r="K67">
        <f ca="1">BIN2DEC(reverse(_xlfn.CONCAT(K59:K66)))</f>
        <v>22</v>
      </c>
      <c r="L67" s="29">
        <f>BIN2DEC(reverse(_xlfn.CONCAT(L59:L66)))</f>
        <v>210</v>
      </c>
      <c r="M67" s="29">
        <f ca="1">BIN2DEC(reverse(_xlfn.CONCAT(M59:M66)))</f>
        <v>196</v>
      </c>
    </row>
    <row r="68" spans="1:13" ht="13">
      <c r="A68" t="s">
        <v>188</v>
      </c>
    </row>
    <row r="69" spans="1:13" ht="15.75" customHeight="1">
      <c r="A69">
        <f t="shared" ref="A69:A76" si="51">BIN2DEC(reverse(_xlfn.CONCAT(B69:I69)))</f>
        <v>0</v>
      </c>
      <c r="B69">
        <f t="shared" ref="B69:I76" si="52">IF(_xlfn.XOR(B$55,B59), 1, 0)</f>
        <v>0</v>
      </c>
      <c r="C69">
        <f t="shared" si="52"/>
        <v>0</v>
      </c>
      <c r="D69">
        <f t="shared" si="52"/>
        <v>0</v>
      </c>
      <c r="E69">
        <f t="shared" si="52"/>
        <v>0</v>
      </c>
      <c r="F69">
        <f t="shared" si="52"/>
        <v>0</v>
      </c>
      <c r="G69">
        <f t="shared" si="52"/>
        <v>0</v>
      </c>
      <c r="H69">
        <f t="shared" si="52"/>
        <v>0</v>
      </c>
      <c r="I69">
        <f t="shared" si="52"/>
        <v>0</v>
      </c>
      <c r="J69">
        <f t="shared" ref="J69:J76" si="53">COUNTIF(B69:I69,1)</f>
        <v>0</v>
      </c>
    </row>
    <row r="70" spans="1:13" ht="13">
      <c r="A70">
        <f t="shared" si="51"/>
        <v>0</v>
      </c>
      <c r="B70">
        <f t="shared" si="52"/>
        <v>0</v>
      </c>
      <c r="C70">
        <f t="shared" si="52"/>
        <v>0</v>
      </c>
      <c r="D70">
        <f t="shared" si="52"/>
        <v>0</v>
      </c>
      <c r="E70">
        <f t="shared" si="52"/>
        <v>0</v>
      </c>
      <c r="F70">
        <f t="shared" si="52"/>
        <v>0</v>
      </c>
      <c r="G70">
        <f t="shared" si="52"/>
        <v>0</v>
      </c>
      <c r="H70">
        <f t="shared" si="52"/>
        <v>0</v>
      </c>
      <c r="I70">
        <f t="shared" si="52"/>
        <v>0</v>
      </c>
      <c r="J70">
        <f t="shared" si="53"/>
        <v>0</v>
      </c>
    </row>
    <row r="71" spans="1:13" ht="13">
      <c r="A71">
        <f t="shared" si="51"/>
        <v>255</v>
      </c>
      <c r="B71">
        <f t="shared" si="52"/>
        <v>1</v>
      </c>
      <c r="C71">
        <f t="shared" si="52"/>
        <v>1</v>
      </c>
      <c r="D71">
        <f t="shared" si="52"/>
        <v>1</v>
      </c>
      <c r="E71">
        <f t="shared" si="52"/>
        <v>1</v>
      </c>
      <c r="F71">
        <f t="shared" si="52"/>
        <v>1</v>
      </c>
      <c r="G71">
        <f t="shared" si="52"/>
        <v>1</v>
      </c>
      <c r="H71">
        <f t="shared" si="52"/>
        <v>1</v>
      </c>
      <c r="I71">
        <f t="shared" si="52"/>
        <v>1</v>
      </c>
      <c r="J71">
        <f t="shared" si="53"/>
        <v>8</v>
      </c>
    </row>
    <row r="72" spans="1:13" ht="13">
      <c r="A72">
        <f t="shared" si="51"/>
        <v>0</v>
      </c>
      <c r="B72">
        <f t="shared" si="52"/>
        <v>0</v>
      </c>
      <c r="C72">
        <f t="shared" si="52"/>
        <v>0</v>
      </c>
      <c r="D72">
        <f t="shared" si="52"/>
        <v>0</v>
      </c>
      <c r="E72">
        <f t="shared" si="52"/>
        <v>0</v>
      </c>
      <c r="F72">
        <f t="shared" si="52"/>
        <v>0</v>
      </c>
      <c r="G72">
        <f t="shared" si="52"/>
        <v>0</v>
      </c>
      <c r="H72">
        <f t="shared" si="52"/>
        <v>0</v>
      </c>
      <c r="I72">
        <f t="shared" si="52"/>
        <v>0</v>
      </c>
      <c r="J72">
        <f t="shared" si="53"/>
        <v>0</v>
      </c>
    </row>
    <row r="73" spans="1:13" ht="13">
      <c r="A73">
        <f t="shared" si="51"/>
        <v>254</v>
      </c>
      <c r="B73">
        <f t="shared" si="52"/>
        <v>0</v>
      </c>
      <c r="C73">
        <f t="shared" si="52"/>
        <v>1</v>
      </c>
      <c r="D73">
        <f t="shared" si="52"/>
        <v>1</v>
      </c>
      <c r="E73">
        <f t="shared" si="52"/>
        <v>1</v>
      </c>
      <c r="F73">
        <f t="shared" si="52"/>
        <v>1</v>
      </c>
      <c r="G73">
        <f t="shared" si="52"/>
        <v>1</v>
      </c>
      <c r="H73">
        <f t="shared" si="52"/>
        <v>1</v>
      </c>
      <c r="I73">
        <f t="shared" si="52"/>
        <v>1</v>
      </c>
      <c r="J73">
        <f t="shared" si="53"/>
        <v>7</v>
      </c>
    </row>
    <row r="74" spans="1:13" ht="13">
      <c r="A74">
        <f t="shared" si="51"/>
        <v>0</v>
      </c>
      <c r="B74">
        <f t="shared" si="52"/>
        <v>0</v>
      </c>
      <c r="C74">
        <f t="shared" si="52"/>
        <v>0</v>
      </c>
      <c r="D74">
        <f t="shared" si="52"/>
        <v>0</v>
      </c>
      <c r="E74">
        <f t="shared" si="52"/>
        <v>0</v>
      </c>
      <c r="F74">
        <f t="shared" si="52"/>
        <v>0</v>
      </c>
      <c r="G74">
        <f t="shared" si="52"/>
        <v>0</v>
      </c>
      <c r="H74">
        <f t="shared" si="52"/>
        <v>0</v>
      </c>
      <c r="I74">
        <f t="shared" si="52"/>
        <v>0</v>
      </c>
      <c r="J74">
        <f t="shared" si="53"/>
        <v>0</v>
      </c>
    </row>
    <row r="75" spans="1:13" ht="13">
      <c r="A75">
        <f t="shared" si="51"/>
        <v>0</v>
      </c>
      <c r="B75">
        <f t="shared" si="52"/>
        <v>0</v>
      </c>
      <c r="C75">
        <f t="shared" si="52"/>
        <v>0</v>
      </c>
      <c r="D75">
        <f t="shared" si="52"/>
        <v>0</v>
      </c>
      <c r="E75">
        <f t="shared" si="52"/>
        <v>0</v>
      </c>
      <c r="F75">
        <f t="shared" si="52"/>
        <v>0</v>
      </c>
      <c r="G75">
        <f t="shared" si="52"/>
        <v>0</v>
      </c>
      <c r="H75">
        <f t="shared" si="52"/>
        <v>0</v>
      </c>
      <c r="I75">
        <f t="shared" si="52"/>
        <v>0</v>
      </c>
      <c r="J75">
        <f t="shared" si="53"/>
        <v>0</v>
      </c>
    </row>
    <row r="76" spans="1:13" ht="13">
      <c r="A76">
        <f t="shared" si="51"/>
        <v>0</v>
      </c>
      <c r="B76">
        <f t="shared" si="52"/>
        <v>0</v>
      </c>
      <c r="C76">
        <f t="shared" si="52"/>
        <v>0</v>
      </c>
      <c r="D76">
        <f t="shared" si="52"/>
        <v>0</v>
      </c>
      <c r="E76">
        <f t="shared" si="52"/>
        <v>0</v>
      </c>
      <c r="F76">
        <f t="shared" si="52"/>
        <v>0</v>
      </c>
      <c r="G76">
        <f t="shared" si="52"/>
        <v>0</v>
      </c>
      <c r="H76">
        <f t="shared" si="52"/>
        <v>0</v>
      </c>
      <c r="I76">
        <f t="shared" si="52"/>
        <v>0</v>
      </c>
      <c r="J76">
        <f t="shared" si="53"/>
        <v>0</v>
      </c>
    </row>
    <row r="77" spans="1:13" ht="13">
      <c r="A77" t="s">
        <v>82</v>
      </c>
    </row>
    <row r="78" spans="1:13" ht="13" customHeight="1">
      <c r="A78" s="29">
        <f t="shared" ref="A78:A85" ca="1" si="54">BIN2DEC(reverse(_xlfn.CONCAT(B78:I78)))</f>
        <v>0</v>
      </c>
      <c r="B78" s="29">
        <f t="shared" ref="B78:I85" ca="1" si="55">IF(AND($M59,(_xlfn.XOR(B69,NOT($K59)))),1,0)</f>
        <v>0</v>
      </c>
      <c r="C78" s="29">
        <f t="shared" ca="1" si="55"/>
        <v>0</v>
      </c>
      <c r="D78" s="29">
        <f t="shared" ca="1" si="55"/>
        <v>0</v>
      </c>
      <c r="E78" s="29">
        <f t="shared" ca="1" si="55"/>
        <v>0</v>
      </c>
      <c r="F78" s="29">
        <f t="shared" ca="1" si="55"/>
        <v>0</v>
      </c>
      <c r="G78" s="29">
        <f t="shared" ca="1" si="55"/>
        <v>0</v>
      </c>
      <c r="H78" s="29">
        <f t="shared" ca="1" si="55"/>
        <v>0</v>
      </c>
      <c r="I78" s="29">
        <f t="shared" ca="1" si="55"/>
        <v>0</v>
      </c>
      <c r="J78" s="29">
        <f ca="1">J59+K78</f>
        <v>7</v>
      </c>
      <c r="K78" s="22">
        <f ca="1">IF(K59,M59,M59*(-1))</f>
        <v>0</v>
      </c>
      <c r="L78" s="29"/>
    </row>
    <row r="79" spans="1:13" ht="13" customHeight="1">
      <c r="A79" s="29">
        <f t="shared" ca="1" si="54"/>
        <v>0</v>
      </c>
      <c r="B79" s="29">
        <f t="shared" ca="1" si="55"/>
        <v>0</v>
      </c>
      <c r="C79" s="29">
        <f t="shared" ca="1" si="55"/>
        <v>0</v>
      </c>
      <c r="D79" s="29">
        <f t="shared" ca="1" si="55"/>
        <v>0</v>
      </c>
      <c r="E79" s="29">
        <f t="shared" ca="1" si="55"/>
        <v>0</v>
      </c>
      <c r="F79" s="29">
        <f t="shared" ca="1" si="55"/>
        <v>0</v>
      </c>
      <c r="G79" s="29">
        <f t="shared" ca="1" si="55"/>
        <v>0</v>
      </c>
      <c r="H79" s="29">
        <f t="shared" ca="1" si="55"/>
        <v>0</v>
      </c>
      <c r="I79" s="29">
        <f t="shared" ca="1" si="55"/>
        <v>0</v>
      </c>
      <c r="J79" s="29">
        <f t="shared" ref="J79:J85" ca="1" si="56">J60+K79</f>
        <v>0</v>
      </c>
      <c r="K79" s="22">
        <f t="shared" ref="K79:K85" ca="1" si="57">IF(K60,M60,M60*(-1))</f>
        <v>0</v>
      </c>
      <c r="L79" s="29"/>
    </row>
    <row r="80" spans="1:13" ht="13" customHeight="1">
      <c r="A80" s="29">
        <f t="shared" ca="1" si="54"/>
        <v>255</v>
      </c>
      <c r="B80" s="29">
        <f t="shared" ca="1" si="55"/>
        <v>1</v>
      </c>
      <c r="C80" s="29">
        <f t="shared" ca="1" si="55"/>
        <v>1</v>
      </c>
      <c r="D80" s="29">
        <f t="shared" ca="1" si="55"/>
        <v>1</v>
      </c>
      <c r="E80" s="29">
        <f t="shared" ca="1" si="55"/>
        <v>1</v>
      </c>
      <c r="F80" s="29">
        <f t="shared" ca="1" si="55"/>
        <v>1</v>
      </c>
      <c r="G80" s="29">
        <f t="shared" ca="1" si="55"/>
        <v>1</v>
      </c>
      <c r="H80" s="29">
        <f t="shared" ca="1" si="55"/>
        <v>1</v>
      </c>
      <c r="I80" s="29">
        <f t="shared" ca="1" si="55"/>
        <v>1</v>
      </c>
      <c r="J80" s="29">
        <f t="shared" ca="1" si="56"/>
        <v>9</v>
      </c>
      <c r="K80" s="22">
        <f t="shared" ca="1" si="57"/>
        <v>1</v>
      </c>
      <c r="L80" s="29"/>
    </row>
    <row r="81" spans="1:12" ht="13" customHeight="1">
      <c r="A81" s="29">
        <f t="shared" ca="1" si="54"/>
        <v>0</v>
      </c>
      <c r="B81" s="29">
        <f t="shared" ca="1" si="55"/>
        <v>0</v>
      </c>
      <c r="C81" s="29">
        <f t="shared" ca="1" si="55"/>
        <v>0</v>
      </c>
      <c r="D81" s="29">
        <f t="shared" ca="1" si="55"/>
        <v>0</v>
      </c>
      <c r="E81" s="29">
        <f t="shared" ca="1" si="55"/>
        <v>0</v>
      </c>
      <c r="F81" s="29">
        <f t="shared" ca="1" si="55"/>
        <v>0</v>
      </c>
      <c r="G81" s="29">
        <f t="shared" ca="1" si="55"/>
        <v>0</v>
      </c>
      <c r="H81" s="29">
        <f t="shared" ca="1" si="55"/>
        <v>0</v>
      </c>
      <c r="I81" s="29">
        <f t="shared" ca="1" si="55"/>
        <v>0</v>
      </c>
      <c r="J81" s="29">
        <f t="shared" ca="1" si="56"/>
        <v>1</v>
      </c>
      <c r="K81" s="22">
        <f t="shared" ca="1" si="57"/>
        <v>0</v>
      </c>
      <c r="L81" s="29"/>
    </row>
    <row r="82" spans="1:12" ht="13" customHeight="1">
      <c r="A82" s="29">
        <f t="shared" ca="1" si="54"/>
        <v>0</v>
      </c>
      <c r="B82" s="29">
        <f t="shared" ca="1" si="55"/>
        <v>0</v>
      </c>
      <c r="C82" s="29">
        <f t="shared" ca="1" si="55"/>
        <v>0</v>
      </c>
      <c r="D82" s="29">
        <f t="shared" ca="1" si="55"/>
        <v>0</v>
      </c>
      <c r="E82" s="29">
        <f t="shared" ca="1" si="55"/>
        <v>0</v>
      </c>
      <c r="F82" s="29">
        <f t="shared" ca="1" si="55"/>
        <v>0</v>
      </c>
      <c r="G82" s="29">
        <f t="shared" ca="1" si="55"/>
        <v>0</v>
      </c>
      <c r="H82" s="29">
        <f t="shared" ca="1" si="55"/>
        <v>0</v>
      </c>
      <c r="I82" s="29">
        <f t="shared" ca="1" si="55"/>
        <v>0</v>
      </c>
      <c r="J82" s="29">
        <f t="shared" ca="1" si="56"/>
        <v>7</v>
      </c>
      <c r="K82" s="22">
        <f t="shared" ca="1" si="57"/>
        <v>0</v>
      </c>
      <c r="L82" s="29"/>
    </row>
    <row r="83" spans="1:12" ht="13" customHeight="1">
      <c r="A83" s="29">
        <f t="shared" ca="1" si="54"/>
        <v>0</v>
      </c>
      <c r="B83" s="29">
        <f t="shared" ca="1" si="55"/>
        <v>0</v>
      </c>
      <c r="C83" s="29">
        <f t="shared" ca="1" si="55"/>
        <v>0</v>
      </c>
      <c r="D83" s="29">
        <f t="shared" ca="1" si="55"/>
        <v>0</v>
      </c>
      <c r="E83" s="29">
        <f t="shared" ca="1" si="55"/>
        <v>0</v>
      </c>
      <c r="F83" s="29">
        <f t="shared" ca="1" si="55"/>
        <v>0</v>
      </c>
      <c r="G83" s="29">
        <f t="shared" ca="1" si="55"/>
        <v>0</v>
      </c>
      <c r="H83" s="29">
        <f t="shared" ca="1" si="55"/>
        <v>0</v>
      </c>
      <c r="I83" s="29">
        <f t="shared" ca="1" si="55"/>
        <v>0</v>
      </c>
      <c r="J83" s="29">
        <f t="shared" ca="1" si="56"/>
        <v>9</v>
      </c>
      <c r="K83" s="22">
        <f t="shared" ca="1" si="57"/>
        <v>0</v>
      </c>
      <c r="L83" s="29"/>
    </row>
    <row r="84" spans="1:12" ht="13" customHeight="1">
      <c r="A84" s="29">
        <f t="shared" ca="1" si="54"/>
        <v>255</v>
      </c>
      <c r="B84" s="29">
        <f t="shared" ca="1" si="55"/>
        <v>1</v>
      </c>
      <c r="C84" s="29">
        <f t="shared" ca="1" si="55"/>
        <v>1</v>
      </c>
      <c r="D84" s="29">
        <f t="shared" ca="1" si="55"/>
        <v>1</v>
      </c>
      <c r="E84" s="29">
        <f t="shared" ca="1" si="55"/>
        <v>1</v>
      </c>
      <c r="F84" s="29">
        <f t="shared" ca="1" si="55"/>
        <v>1</v>
      </c>
      <c r="G84" s="29">
        <f t="shared" ca="1" si="55"/>
        <v>1</v>
      </c>
      <c r="H84" s="29">
        <f t="shared" ca="1" si="55"/>
        <v>1</v>
      </c>
      <c r="I84" s="29">
        <f t="shared" ca="1" si="55"/>
        <v>1</v>
      </c>
      <c r="J84" s="29">
        <f t="shared" ca="1" si="56"/>
        <v>6</v>
      </c>
      <c r="K84" s="22">
        <f t="shared" ca="1" si="57"/>
        <v>-1</v>
      </c>
      <c r="L84" s="29"/>
    </row>
    <row r="85" spans="1:12" ht="13" customHeight="1">
      <c r="A85" s="29">
        <f t="shared" ca="1" si="54"/>
        <v>255</v>
      </c>
      <c r="B85" s="29">
        <f t="shared" ca="1" si="55"/>
        <v>1</v>
      </c>
      <c r="C85" s="29">
        <f t="shared" ca="1" si="55"/>
        <v>1</v>
      </c>
      <c r="D85" s="29">
        <f t="shared" ca="1" si="55"/>
        <v>1</v>
      </c>
      <c r="E85" s="29">
        <f t="shared" ca="1" si="55"/>
        <v>1</v>
      </c>
      <c r="F85" s="29">
        <f t="shared" ca="1" si="55"/>
        <v>1</v>
      </c>
      <c r="G85" s="29">
        <f t="shared" ca="1" si="55"/>
        <v>1</v>
      </c>
      <c r="H85" s="29">
        <f t="shared" ca="1" si="55"/>
        <v>1</v>
      </c>
      <c r="I85" s="29">
        <f t="shared" ca="1" si="55"/>
        <v>1</v>
      </c>
      <c r="J85" s="29">
        <f t="shared" ca="1" si="56"/>
        <v>6</v>
      </c>
      <c r="K85" s="22">
        <f t="shared" ca="1" si="57"/>
        <v>-1</v>
      </c>
      <c r="L85" s="29"/>
    </row>
    <row r="86" spans="1:12" ht="13"/>
    <row r="87" spans="1:12" ht="15.75" customHeight="1">
      <c r="A87" t="s">
        <v>25</v>
      </c>
    </row>
    <row r="88" spans="1:12" ht="13">
      <c r="A88" s="29">
        <f t="shared" ref="A88:A95" ca="1" si="58">BIN2DEC(reverse(_xlfn.CONCAT(B88:I88)))</f>
        <v>0</v>
      </c>
      <c r="B88">
        <f>B59</f>
        <v>0</v>
      </c>
      <c r="C88" s="29">
        <f t="shared" ref="C88:C95" ca="1" si="59">IF(IF(C78,NOT(C59),C59),1,0)</f>
        <v>0</v>
      </c>
      <c r="D88" s="29">
        <f t="shared" ref="D88" si="60">D59</f>
        <v>0</v>
      </c>
      <c r="E88" s="29">
        <f t="shared" ref="E88:H88" si="61">E59</f>
        <v>0</v>
      </c>
      <c r="F88" s="29">
        <f t="shared" si="61"/>
        <v>0</v>
      </c>
      <c r="G88" s="29">
        <f t="shared" si="61"/>
        <v>0</v>
      </c>
      <c r="H88" s="29">
        <f t="shared" si="61"/>
        <v>0</v>
      </c>
      <c r="I88" s="29">
        <f t="shared" ref="I88" si="62">I59</f>
        <v>0</v>
      </c>
    </row>
    <row r="89" spans="1:12" ht="13">
      <c r="A89" s="29">
        <f t="shared" ca="1" si="58"/>
        <v>0</v>
      </c>
      <c r="B89" s="29">
        <f t="shared" ref="B89:B95" si="63">B60</f>
        <v>0</v>
      </c>
      <c r="C89" s="29">
        <f t="shared" ca="1" si="59"/>
        <v>0</v>
      </c>
      <c r="D89" s="29">
        <f t="shared" ref="D89" si="64">D60</f>
        <v>0</v>
      </c>
      <c r="E89" s="29">
        <f t="shared" ref="E89:I89" si="65">E60</f>
        <v>0</v>
      </c>
      <c r="F89" s="29">
        <f t="shared" si="65"/>
        <v>0</v>
      </c>
      <c r="G89" s="29">
        <f t="shared" si="65"/>
        <v>0</v>
      </c>
      <c r="H89" s="29">
        <f t="shared" si="65"/>
        <v>0</v>
      </c>
      <c r="I89" s="29">
        <f t="shared" si="65"/>
        <v>0</v>
      </c>
    </row>
    <row r="90" spans="1:12" ht="13">
      <c r="A90" s="29">
        <f t="shared" ca="1" si="58"/>
        <v>253</v>
      </c>
      <c r="B90" s="29">
        <f t="shared" si="63"/>
        <v>1</v>
      </c>
      <c r="C90" s="29">
        <f t="shared" ca="1" si="59"/>
        <v>0</v>
      </c>
      <c r="D90" s="29">
        <f t="shared" ref="D90" si="66">D61</f>
        <v>1</v>
      </c>
      <c r="E90" s="29">
        <f t="shared" ref="E90:I90" si="67">E61</f>
        <v>1</v>
      </c>
      <c r="F90" s="29">
        <f t="shared" si="67"/>
        <v>1</v>
      </c>
      <c r="G90" s="29">
        <f t="shared" si="67"/>
        <v>1</v>
      </c>
      <c r="H90" s="29">
        <f t="shared" si="67"/>
        <v>1</v>
      </c>
      <c r="I90" s="29">
        <f t="shared" si="67"/>
        <v>1</v>
      </c>
    </row>
    <row r="91" spans="1:12" ht="15.75" customHeight="1">
      <c r="A91" s="29">
        <f t="shared" ca="1" si="58"/>
        <v>0</v>
      </c>
      <c r="B91" s="29">
        <f t="shared" si="63"/>
        <v>0</v>
      </c>
      <c r="C91" s="29">
        <f t="shared" ca="1" si="59"/>
        <v>0</v>
      </c>
      <c r="D91" s="29">
        <f t="shared" ref="D91" si="68">D62</f>
        <v>0</v>
      </c>
      <c r="E91" s="29">
        <f t="shared" ref="E91:I91" si="69">E62</f>
        <v>0</v>
      </c>
      <c r="F91" s="29">
        <f t="shared" si="69"/>
        <v>0</v>
      </c>
      <c r="G91" s="29">
        <f t="shared" si="69"/>
        <v>0</v>
      </c>
      <c r="H91" s="29">
        <f t="shared" si="69"/>
        <v>0</v>
      </c>
      <c r="I91" s="29">
        <f t="shared" si="69"/>
        <v>0</v>
      </c>
    </row>
    <row r="92" spans="1:12" ht="13">
      <c r="A92" s="29">
        <f t="shared" ca="1" si="58"/>
        <v>254</v>
      </c>
      <c r="B92" s="29">
        <f t="shared" si="63"/>
        <v>0</v>
      </c>
      <c r="C92" s="29">
        <f t="shared" ca="1" si="59"/>
        <v>1</v>
      </c>
      <c r="D92" s="29">
        <f t="shared" ref="D92" si="70">D63</f>
        <v>1</v>
      </c>
      <c r="E92" s="29">
        <f t="shared" ref="E92:I92" si="71">E63</f>
        <v>1</v>
      </c>
      <c r="F92" s="29">
        <f t="shared" si="71"/>
        <v>1</v>
      </c>
      <c r="G92" s="29">
        <f t="shared" si="71"/>
        <v>1</v>
      </c>
      <c r="H92" s="29">
        <f t="shared" si="71"/>
        <v>1</v>
      </c>
      <c r="I92" s="29">
        <f t="shared" si="71"/>
        <v>1</v>
      </c>
    </row>
    <row r="93" spans="1:12" ht="13">
      <c r="A93" s="29">
        <f t="shared" ca="1" si="58"/>
        <v>0</v>
      </c>
      <c r="B93" s="29">
        <f t="shared" si="63"/>
        <v>0</v>
      </c>
      <c r="C93" s="29">
        <f t="shared" ca="1" si="59"/>
        <v>0</v>
      </c>
      <c r="D93" s="29">
        <f t="shared" ref="D93" si="72">D64</f>
        <v>0</v>
      </c>
      <c r="E93" s="29">
        <f t="shared" ref="E93:I93" si="73">E64</f>
        <v>0</v>
      </c>
      <c r="F93" s="29">
        <f t="shared" si="73"/>
        <v>0</v>
      </c>
      <c r="G93" s="29">
        <f t="shared" si="73"/>
        <v>0</v>
      </c>
      <c r="H93" s="29">
        <f t="shared" si="73"/>
        <v>0</v>
      </c>
      <c r="I93" s="29">
        <f t="shared" si="73"/>
        <v>0</v>
      </c>
    </row>
    <row r="94" spans="1:12" ht="13">
      <c r="A94" s="29">
        <f t="shared" ca="1" si="58"/>
        <v>2</v>
      </c>
      <c r="B94" s="29">
        <f t="shared" si="63"/>
        <v>0</v>
      </c>
      <c r="C94" s="29">
        <f t="shared" ca="1" si="59"/>
        <v>1</v>
      </c>
      <c r="D94" s="29">
        <f t="shared" ref="D94" si="74">D65</f>
        <v>0</v>
      </c>
      <c r="E94" s="29">
        <f t="shared" ref="E94:I94" si="75">E65</f>
        <v>0</v>
      </c>
      <c r="F94" s="29">
        <f t="shared" si="75"/>
        <v>0</v>
      </c>
      <c r="G94" s="29">
        <f t="shared" si="75"/>
        <v>0</v>
      </c>
      <c r="H94" s="29">
        <f t="shared" si="75"/>
        <v>0</v>
      </c>
      <c r="I94" s="29">
        <f t="shared" si="75"/>
        <v>0</v>
      </c>
    </row>
    <row r="95" spans="1:12" ht="13">
      <c r="A95" s="29">
        <f t="shared" ca="1" si="58"/>
        <v>2</v>
      </c>
      <c r="B95" s="29">
        <f t="shared" si="63"/>
        <v>0</v>
      </c>
      <c r="C95" s="29">
        <f t="shared" ca="1" si="59"/>
        <v>1</v>
      </c>
      <c r="D95" s="29">
        <f t="shared" ref="D95" si="76">D66</f>
        <v>0</v>
      </c>
      <c r="E95" s="29">
        <f t="shared" ref="E95:I95" si="77">E66</f>
        <v>0</v>
      </c>
      <c r="F95" s="29">
        <f t="shared" si="77"/>
        <v>0</v>
      </c>
      <c r="G95" s="29">
        <f t="shared" si="77"/>
        <v>0</v>
      </c>
      <c r="H95" s="29">
        <f t="shared" si="77"/>
        <v>0</v>
      </c>
      <c r="I95" s="29">
        <f t="shared" si="77"/>
        <v>0</v>
      </c>
    </row>
    <row r="96" spans="1:12" ht="13"/>
    <row r="97" ht="13"/>
    <row r="98" ht="13"/>
    <row r="99" ht="13"/>
    <row r="100" ht="13"/>
    <row r="102" ht="13"/>
    <row r="103" ht="13"/>
    <row r="104" ht="13"/>
    <row r="105" ht="13"/>
    <row r="106" ht="13"/>
    <row r="107" ht="13"/>
    <row r="108" ht="13"/>
    <row r="109" ht="13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AM132"/>
  <sheetViews>
    <sheetView workbookViewId="0">
      <selection activeCell="AI8" sqref="AI8"/>
    </sheetView>
  </sheetViews>
  <sheetFormatPr baseColWidth="10" defaultColWidth="14.5" defaultRowHeight="15.75" customHeight="1"/>
  <cols>
    <col min="20" max="39" width="4.33203125" customWidth="1"/>
  </cols>
  <sheetData>
    <row r="1" spans="1:39" ht="15.75" customHeight="1">
      <c r="A1" s="1" t="s">
        <v>120</v>
      </c>
      <c r="D1" s="1" t="s">
        <v>121</v>
      </c>
    </row>
    <row r="2" spans="1:39" ht="15.75" customHeight="1">
      <c r="D2" t="str">
        <f t="array" aca="1" ref="D2" ca="1">IFERROR(PROPER(_xlfn.CONCAT(MID(A1,LEN(A1)-ROW(INDIRECT("1:"&amp;LEN(A1)))+1,1))),"")</f>
        <v>Sartxe</v>
      </c>
    </row>
    <row r="3" spans="1:39" ht="15.75" customHeight="1">
      <c r="A3" s="1">
        <v>0</v>
      </c>
      <c r="B3" t="str">
        <f t="shared" ref="B3:B22" si="0">DEC2BIN(A3)</f>
        <v>0</v>
      </c>
      <c r="F3">
        <v>0</v>
      </c>
      <c r="G3">
        <v>1</v>
      </c>
      <c r="H3">
        <v>0</v>
      </c>
      <c r="I3">
        <v>0</v>
      </c>
      <c r="O3" t="str">
        <f>_xlfn.CONCAT(F3:I3)</f>
        <v>0100</v>
      </c>
      <c r="P3">
        <f t="shared" ref="P3:P7" si="1">BIN2DEC(O3)</f>
        <v>4</v>
      </c>
      <c r="R3" s="1" t="s">
        <v>46</v>
      </c>
    </row>
    <row r="4" spans="1:39" ht="15.75" customHeight="1">
      <c r="A4" s="1">
        <f t="shared" ref="A4:A21" si="2">A3+1</f>
        <v>1</v>
      </c>
      <c r="B4" t="str">
        <f t="shared" si="0"/>
        <v>1</v>
      </c>
      <c r="F4">
        <v>0</v>
      </c>
      <c r="G4">
        <v>0</v>
      </c>
      <c r="H4">
        <v>1</v>
      </c>
      <c r="I4">
        <v>0</v>
      </c>
      <c r="O4" t="str">
        <f>_xlfn.CONCAT(F4:I4)</f>
        <v>0010</v>
      </c>
      <c r="P4">
        <f t="shared" si="1"/>
        <v>2</v>
      </c>
      <c r="R4" t="str">
        <f>_xlfn.CONCAT('Example-3'!AW6:AZ6)</f>
        <v/>
      </c>
    </row>
    <row r="5" spans="1:39" ht="15.75" customHeight="1">
      <c r="A5" s="1">
        <f t="shared" si="2"/>
        <v>2</v>
      </c>
      <c r="B5" t="str">
        <f t="shared" si="0"/>
        <v>10</v>
      </c>
      <c r="F5">
        <v>0</v>
      </c>
      <c r="G5">
        <v>0</v>
      </c>
      <c r="H5">
        <v>1</v>
      </c>
      <c r="I5">
        <v>1</v>
      </c>
      <c r="O5" t="str">
        <f>_xlfn.CONCAT(F5:I5)</f>
        <v>0011</v>
      </c>
      <c r="P5">
        <f t="shared" si="1"/>
        <v>3</v>
      </c>
    </row>
    <row r="6" spans="1:39" ht="15.75" customHeight="1">
      <c r="A6" s="1">
        <f t="shared" si="2"/>
        <v>3</v>
      </c>
      <c r="B6" t="str">
        <f t="shared" si="0"/>
        <v>11</v>
      </c>
      <c r="F6">
        <v>1</v>
      </c>
      <c r="G6">
        <v>0</v>
      </c>
      <c r="H6">
        <v>1</v>
      </c>
      <c r="I6">
        <v>1</v>
      </c>
      <c r="O6" t="str">
        <f>_xlfn.CONCAT(F6:I6)</f>
        <v>1011</v>
      </c>
      <c r="P6">
        <f t="shared" si="1"/>
        <v>11</v>
      </c>
    </row>
    <row r="7" spans="1:39" ht="15.75" customHeight="1">
      <c r="A7" s="1">
        <f t="shared" si="2"/>
        <v>4</v>
      </c>
      <c r="B7" t="str">
        <f t="shared" si="0"/>
        <v>100</v>
      </c>
      <c r="F7">
        <v>1</v>
      </c>
      <c r="G7">
        <v>1</v>
      </c>
      <c r="H7">
        <v>1</v>
      </c>
      <c r="I7">
        <v>1</v>
      </c>
      <c r="O7" t="str">
        <f>_xlfn.CONCAT(F7:I7)</f>
        <v>1111</v>
      </c>
      <c r="P7">
        <f t="shared" si="1"/>
        <v>15</v>
      </c>
      <c r="T7" s="2"/>
      <c r="U7" s="1"/>
      <c r="V7" s="1" t="s">
        <v>178</v>
      </c>
      <c r="AF7" s="1" t="s">
        <v>123</v>
      </c>
    </row>
    <row r="8" spans="1:39" ht="15.75" customHeight="1">
      <c r="A8" s="1">
        <f t="shared" si="2"/>
        <v>5</v>
      </c>
      <c r="B8" t="str">
        <f t="shared" si="0"/>
        <v>101</v>
      </c>
      <c r="V8">
        <f ca="1">IFERROR(__xludf.DUMMYFUNCTION("split(V7,"","")"),45)</f>
        <v>45</v>
      </c>
      <c r="W8">
        <f ca="1">IFERROR(__xludf.DUMMYFUNCTION("""COMPUTED_VALUE"""),30)</f>
        <v>30</v>
      </c>
      <c r="X8">
        <f ca="1">IFERROR(__xludf.DUMMYFUNCTION("""COMPUTED_VALUE"""),29)</f>
        <v>29</v>
      </c>
      <c r="Y8">
        <f ca="1">IFERROR(__xludf.DUMMYFUNCTION("""COMPUTED_VALUE"""),157)</f>
        <v>157</v>
      </c>
      <c r="Z8">
        <f ca="1">IFERROR(__xludf.DUMMYFUNCTION("""COMPUTED_VALUE"""),254)</f>
        <v>254</v>
      </c>
      <c r="AA8">
        <f ca="1">IFERROR(__xludf.DUMMYFUNCTION("""COMPUTED_VALUE"""),143)</f>
        <v>143</v>
      </c>
      <c r="AB8">
        <f ca="1">IFERROR(__xludf.DUMMYFUNCTION("""COMPUTED_VALUE"""),47)</f>
        <v>47</v>
      </c>
      <c r="AC8">
        <f ca="1">IFERROR(__xludf.DUMMYFUNCTION("""COMPUTED_VALUE"""),111)</f>
        <v>111</v>
      </c>
      <c r="AF8">
        <f ca="1">IFERROR(__xludf.DUMMYFUNCTION("split(AF7,"","")"),6)</f>
        <v>6</v>
      </c>
      <c r="AG8">
        <f ca="1">IFERROR(__xludf.DUMMYFUNCTION("""COMPUTED_VALUE"""),1)</f>
        <v>1</v>
      </c>
      <c r="AH8">
        <f ca="1">IFERROR(__xludf.DUMMYFUNCTION("""COMPUTED_VALUE"""),1)</f>
        <v>1</v>
      </c>
      <c r="AI8">
        <f ca="1">IFERROR(__xludf.DUMMYFUNCTION("""COMPUTED_VALUE"""),6)</f>
        <v>6</v>
      </c>
      <c r="AJ8">
        <f ca="1">IFERROR(__xludf.DUMMYFUNCTION("""COMPUTED_VALUE"""),3)</f>
        <v>3</v>
      </c>
      <c r="AK8">
        <f ca="1">IFERROR(__xludf.DUMMYFUNCTION("""COMPUTED_VALUE"""),7)</f>
        <v>7</v>
      </c>
      <c r="AL8">
        <f ca="1">IFERROR(__xludf.DUMMYFUNCTION("""COMPUTED_VALUE"""),7)</f>
        <v>7</v>
      </c>
      <c r="AM8">
        <f ca="1">IFERROR(__xludf.DUMMYFUNCTION("""COMPUTED_VALUE"""),5)</f>
        <v>5</v>
      </c>
    </row>
    <row r="9" spans="1:39" ht="15.75" customHeight="1">
      <c r="A9" s="1">
        <f t="shared" si="2"/>
        <v>6</v>
      </c>
      <c r="B9" t="str">
        <f t="shared" si="0"/>
        <v>110</v>
      </c>
      <c r="T9">
        <f t="array" aca="1" ref="T9:T16" ca="1">TRANSPOSE(V8:AC8)</f>
        <v>45</v>
      </c>
      <c r="V9" t="str">
        <f t="shared" ref="V9:V16" ca="1" si="3">DEC2BIN(T9,8)</f>
        <v>00101101</v>
      </c>
      <c r="W9" t="str">
        <f t="shared" ref="W9:W16" ca="1" si="4">IFERROR(PROPER(_xlfn.CONCAT(MID(V9,LEN(V9)-ROW(INDIRECT("1:"&amp;LEN(V9)))+1,1))),"")</f>
        <v>1</v>
      </c>
      <c r="X9" t="str">
        <f t="shared" ref="X9:X16" ca="1" si="5">IFERROR(__xludf.DUMMYFUNCTION("arrayformula( regexextract(W9 &amp; """", rept(""(.)"", len(W9))))"),"1")</f>
        <v>1</v>
      </c>
      <c r="Y9" t="str">
        <f ca="1">IFERROR(__xludf.DUMMYFUNCTION("""COMPUTED_VALUE"""),"0")</f>
        <v>0</v>
      </c>
      <c r="Z9" t="str">
        <f ca="1">IFERROR(__xludf.DUMMYFUNCTION("""COMPUTED_VALUE"""),"1")</f>
        <v>1</v>
      </c>
      <c r="AA9" t="str">
        <f ca="1">IFERROR(__xludf.DUMMYFUNCTION("""COMPUTED_VALUE"""),"1")</f>
        <v>1</v>
      </c>
      <c r="AB9" t="str">
        <f ca="1">IFERROR(__xludf.DUMMYFUNCTION("""COMPUTED_VALUE"""),"0")</f>
        <v>0</v>
      </c>
      <c r="AC9" t="str">
        <f ca="1">IFERROR(__xludf.DUMMYFUNCTION("""COMPUTED_VALUE"""),"1")</f>
        <v>1</v>
      </c>
      <c r="AD9" t="str">
        <f ca="1">IFERROR(__xludf.DUMMYFUNCTION("""COMPUTED_VALUE"""),"0")</f>
        <v>0</v>
      </c>
      <c r="AE9" t="str">
        <f ca="1">IFERROR(__xludf.DUMMYFUNCTION("""COMPUTED_VALUE"""),"0")</f>
        <v>0</v>
      </c>
      <c r="AF9">
        <f t="array" aca="1" ref="AF9:AF16" ca="1">TRANSPOSE(AF8:AM8)</f>
        <v>6</v>
      </c>
    </row>
    <row r="10" spans="1:39" ht="15.75" customHeight="1">
      <c r="A10" s="1">
        <f t="shared" si="2"/>
        <v>7</v>
      </c>
      <c r="B10" t="str">
        <f t="shared" si="0"/>
        <v>111</v>
      </c>
      <c r="T10">
        <f ca="1"/>
        <v>30</v>
      </c>
      <c r="V10" t="str">
        <f t="shared" ca="1" si="3"/>
        <v>00011110</v>
      </c>
      <c r="W10" t="str">
        <f t="shared" ca="1" si="4"/>
        <v>0</v>
      </c>
      <c r="X10" t="str">
        <f t="shared" ca="1" si="5"/>
        <v>1</v>
      </c>
      <c r="Y10" t="str">
        <f ca="1">IFERROR(__xludf.DUMMYFUNCTION("""COMPUTED_VALUE"""),"1")</f>
        <v>1</v>
      </c>
      <c r="Z10" t="str">
        <f ca="1">IFERROR(__xludf.DUMMYFUNCTION("""COMPUTED_VALUE"""),"1")</f>
        <v>1</v>
      </c>
      <c r="AA10" t="str">
        <f ca="1">IFERROR(__xludf.DUMMYFUNCTION("""COMPUTED_VALUE"""),"1")</f>
        <v>1</v>
      </c>
      <c r="AB10" t="str">
        <f ca="1">IFERROR(__xludf.DUMMYFUNCTION("""COMPUTED_VALUE"""),"1")</f>
        <v>1</v>
      </c>
      <c r="AC10" t="str">
        <f ca="1">IFERROR(__xludf.DUMMYFUNCTION("""COMPUTED_VALUE"""),"0")</f>
        <v>0</v>
      </c>
      <c r="AD10" t="str">
        <f ca="1">IFERROR(__xludf.DUMMYFUNCTION("""COMPUTED_VALUE"""),"0")</f>
        <v>0</v>
      </c>
      <c r="AE10" t="str">
        <f ca="1">IFERROR(__xludf.DUMMYFUNCTION("""COMPUTED_VALUE"""),"0")</f>
        <v>0</v>
      </c>
      <c r="AF10">
        <f ca="1"/>
        <v>1</v>
      </c>
    </row>
    <row r="11" spans="1:39" ht="15.75" customHeight="1">
      <c r="A11" s="1">
        <f t="shared" si="2"/>
        <v>8</v>
      </c>
      <c r="B11" t="str">
        <f t="shared" si="0"/>
        <v>1000</v>
      </c>
      <c r="T11">
        <f ca="1"/>
        <v>29</v>
      </c>
      <c r="V11" t="str">
        <f t="shared" ca="1" si="3"/>
        <v>00011101</v>
      </c>
      <c r="W11" t="str">
        <f t="shared" ca="1" si="4"/>
        <v>1</v>
      </c>
      <c r="X11" t="str">
        <f t="shared" ca="1" si="5"/>
        <v>1</v>
      </c>
      <c r="Y11" t="str">
        <f ca="1">IFERROR(__xludf.DUMMYFUNCTION("""COMPUTED_VALUE"""),"0")</f>
        <v>0</v>
      </c>
      <c r="Z11" t="str">
        <f ca="1">IFERROR(__xludf.DUMMYFUNCTION("""COMPUTED_VALUE"""),"1")</f>
        <v>1</v>
      </c>
      <c r="AA11" t="str">
        <f ca="1">IFERROR(__xludf.DUMMYFUNCTION("""COMPUTED_VALUE"""),"1")</f>
        <v>1</v>
      </c>
      <c r="AB11" t="str">
        <f ca="1">IFERROR(__xludf.DUMMYFUNCTION("""COMPUTED_VALUE"""),"1")</f>
        <v>1</v>
      </c>
      <c r="AC11" t="str">
        <f ca="1">IFERROR(__xludf.DUMMYFUNCTION("""COMPUTED_VALUE"""),"0")</f>
        <v>0</v>
      </c>
      <c r="AD11" t="str">
        <f ca="1">IFERROR(__xludf.DUMMYFUNCTION("""COMPUTED_VALUE"""),"0")</f>
        <v>0</v>
      </c>
      <c r="AE11" t="str">
        <f ca="1">IFERROR(__xludf.DUMMYFUNCTION("""COMPUTED_VALUE"""),"0")</f>
        <v>0</v>
      </c>
      <c r="AF11">
        <f ca="1"/>
        <v>1</v>
      </c>
    </row>
    <row r="12" spans="1:39" ht="15.75" customHeight="1">
      <c r="A12" s="1">
        <f t="shared" si="2"/>
        <v>9</v>
      </c>
      <c r="B12" t="str">
        <f t="shared" si="0"/>
        <v>1001</v>
      </c>
      <c r="F12" s="25">
        <v>226</v>
      </c>
      <c r="H12">
        <f t="array" ref="H12:O12">TRANSPOSE(F12:F19)</f>
        <v>226</v>
      </c>
      <c r="I12">
        <v>170</v>
      </c>
      <c r="J12">
        <v>244</v>
      </c>
      <c r="K12">
        <v>58</v>
      </c>
      <c r="L12">
        <v>56</v>
      </c>
      <c r="M12">
        <v>184</v>
      </c>
      <c r="N12">
        <v>47</v>
      </c>
      <c r="O12">
        <v>163</v>
      </c>
      <c r="Q12" s="1" t="s">
        <v>46</v>
      </c>
      <c r="R12" t="e">
        <f ca="1">_xludf.TEXTJOIN(",",TRUE,H12:O12)</f>
        <v>#NAME?</v>
      </c>
      <c r="S12" s="1" t="s">
        <v>47</v>
      </c>
      <c r="T12">
        <f ca="1"/>
        <v>157</v>
      </c>
      <c r="V12" t="str">
        <f t="shared" ca="1" si="3"/>
        <v>10011101</v>
      </c>
      <c r="W12" t="str">
        <f t="shared" ca="1" si="4"/>
        <v>1</v>
      </c>
      <c r="X12" t="str">
        <f t="shared" ca="1" si="5"/>
        <v>1</v>
      </c>
      <c r="Y12" t="str">
        <f ca="1">IFERROR(__xludf.DUMMYFUNCTION("""COMPUTED_VALUE"""),"0")</f>
        <v>0</v>
      </c>
      <c r="Z12" t="str">
        <f ca="1">IFERROR(__xludf.DUMMYFUNCTION("""COMPUTED_VALUE"""),"1")</f>
        <v>1</v>
      </c>
      <c r="AA12" t="str">
        <f ca="1">IFERROR(__xludf.DUMMYFUNCTION("""COMPUTED_VALUE"""),"1")</f>
        <v>1</v>
      </c>
      <c r="AB12" t="str">
        <f ca="1">IFERROR(__xludf.DUMMYFUNCTION("""COMPUTED_VALUE"""),"1")</f>
        <v>1</v>
      </c>
      <c r="AC12" t="str">
        <f ca="1">IFERROR(__xludf.DUMMYFUNCTION("""COMPUTED_VALUE"""),"0")</f>
        <v>0</v>
      </c>
      <c r="AD12" t="str">
        <f ca="1">IFERROR(__xludf.DUMMYFUNCTION("""COMPUTED_VALUE"""),"0")</f>
        <v>0</v>
      </c>
      <c r="AE12" t="str">
        <f ca="1">IFERROR(__xludf.DUMMYFUNCTION("""COMPUTED_VALUE"""),"1")</f>
        <v>1</v>
      </c>
      <c r="AF12">
        <f ca="1"/>
        <v>6</v>
      </c>
    </row>
    <row r="13" spans="1:39" ht="15.75" customHeight="1">
      <c r="A13" s="1">
        <f t="shared" si="2"/>
        <v>10</v>
      </c>
      <c r="B13" t="str">
        <f t="shared" si="0"/>
        <v>1010</v>
      </c>
      <c r="F13" s="25">
        <v>170</v>
      </c>
      <c r="H13">
        <f t="shared" ref="H13:O13" si="6">IF(NOT(H12),1,0)</f>
        <v>0</v>
      </c>
      <c r="I13">
        <f t="shared" si="6"/>
        <v>0</v>
      </c>
      <c r="J13">
        <f t="shared" si="6"/>
        <v>0</v>
      </c>
      <c r="K13">
        <f t="shared" si="6"/>
        <v>0</v>
      </c>
      <c r="L13">
        <f t="shared" si="6"/>
        <v>0</v>
      </c>
      <c r="M13">
        <f t="shared" si="6"/>
        <v>0</v>
      </c>
      <c r="N13">
        <f t="shared" si="6"/>
        <v>0</v>
      </c>
      <c r="O13">
        <f t="shared" si="6"/>
        <v>0</v>
      </c>
      <c r="Q13" t="e">
        <f ca="1">_xlfn.CONCAT(Q12:S12)</f>
        <v>#NAME?</v>
      </c>
      <c r="T13">
        <f ca="1"/>
        <v>254</v>
      </c>
      <c r="V13" t="str">
        <f t="shared" ca="1" si="3"/>
        <v>11111110</v>
      </c>
      <c r="W13" t="str">
        <f t="shared" ca="1" si="4"/>
        <v>0</v>
      </c>
      <c r="X13" t="str">
        <f t="shared" ca="1" si="5"/>
        <v>1</v>
      </c>
      <c r="Y13" t="str">
        <f ca="1">IFERROR(__xludf.DUMMYFUNCTION("""COMPUTED_VALUE"""),"1")</f>
        <v>1</v>
      </c>
      <c r="Z13" t="str">
        <f ca="1">IFERROR(__xludf.DUMMYFUNCTION("""COMPUTED_VALUE"""),"1")</f>
        <v>1</v>
      </c>
      <c r="AA13" t="str">
        <f ca="1">IFERROR(__xludf.DUMMYFUNCTION("""COMPUTED_VALUE"""),"1")</f>
        <v>1</v>
      </c>
      <c r="AB13" t="str">
        <f ca="1">IFERROR(__xludf.DUMMYFUNCTION("""COMPUTED_VALUE"""),"1")</f>
        <v>1</v>
      </c>
      <c r="AC13" t="str">
        <f ca="1">IFERROR(__xludf.DUMMYFUNCTION("""COMPUTED_VALUE"""),"1")</f>
        <v>1</v>
      </c>
      <c r="AD13" t="str">
        <f ca="1">IFERROR(__xludf.DUMMYFUNCTION("""COMPUTED_VALUE"""),"1")</f>
        <v>1</v>
      </c>
      <c r="AE13" t="str">
        <f ca="1">IFERROR(__xludf.DUMMYFUNCTION("""COMPUTED_VALUE"""),"1")</f>
        <v>1</v>
      </c>
      <c r="AF13">
        <f ca="1"/>
        <v>3</v>
      </c>
    </row>
    <row r="14" spans="1:39" ht="15.75" customHeight="1">
      <c r="A14" s="1">
        <f t="shared" si="2"/>
        <v>11</v>
      </c>
      <c r="B14" t="str">
        <f t="shared" si="0"/>
        <v>1011</v>
      </c>
      <c r="F14" s="25">
        <v>244</v>
      </c>
      <c r="T14">
        <f ca="1"/>
        <v>143</v>
      </c>
      <c r="V14" t="str">
        <f t="shared" ca="1" si="3"/>
        <v>10001111</v>
      </c>
      <c r="W14" t="str">
        <f t="shared" ca="1" si="4"/>
        <v>1</v>
      </c>
      <c r="X14" t="str">
        <f t="shared" ca="1" si="5"/>
        <v>1</v>
      </c>
      <c r="Y14" t="str">
        <f ca="1">IFERROR(__xludf.DUMMYFUNCTION("""COMPUTED_VALUE"""),"1")</f>
        <v>1</v>
      </c>
      <c r="Z14" t="str">
        <f ca="1">IFERROR(__xludf.DUMMYFUNCTION("""COMPUTED_VALUE"""),"1")</f>
        <v>1</v>
      </c>
      <c r="AA14" t="str">
        <f ca="1">IFERROR(__xludf.DUMMYFUNCTION("""COMPUTED_VALUE"""),"1")</f>
        <v>1</v>
      </c>
      <c r="AB14" t="str">
        <f ca="1">IFERROR(__xludf.DUMMYFUNCTION("""COMPUTED_VALUE"""),"0")</f>
        <v>0</v>
      </c>
      <c r="AC14" t="str">
        <f ca="1">IFERROR(__xludf.DUMMYFUNCTION("""COMPUTED_VALUE"""),"0")</f>
        <v>0</v>
      </c>
      <c r="AD14" t="str">
        <f ca="1">IFERROR(__xludf.DUMMYFUNCTION("""COMPUTED_VALUE"""),"0")</f>
        <v>0</v>
      </c>
      <c r="AE14" t="str">
        <f ca="1">IFERROR(__xludf.DUMMYFUNCTION("""COMPUTED_VALUE"""),"1")</f>
        <v>1</v>
      </c>
      <c r="AF14">
        <f ca="1"/>
        <v>7</v>
      </c>
    </row>
    <row r="15" spans="1:39" ht="15.75" customHeight="1">
      <c r="A15" s="1">
        <f t="shared" si="2"/>
        <v>12</v>
      </c>
      <c r="B15" t="str">
        <f t="shared" si="0"/>
        <v>1100</v>
      </c>
      <c r="F15" s="25">
        <v>58</v>
      </c>
      <c r="T15">
        <f ca="1"/>
        <v>47</v>
      </c>
      <c r="V15" t="str">
        <f t="shared" ca="1" si="3"/>
        <v>00101111</v>
      </c>
      <c r="W15" t="str">
        <f t="shared" ca="1" si="4"/>
        <v>1</v>
      </c>
      <c r="X15" t="str">
        <f t="shared" ca="1" si="5"/>
        <v>1</v>
      </c>
      <c r="Y15" t="str">
        <f ca="1">IFERROR(__xludf.DUMMYFUNCTION("""COMPUTED_VALUE"""),"1")</f>
        <v>1</v>
      </c>
      <c r="Z15" t="str">
        <f ca="1">IFERROR(__xludf.DUMMYFUNCTION("""COMPUTED_VALUE"""),"1")</f>
        <v>1</v>
      </c>
      <c r="AA15" t="str">
        <f ca="1">IFERROR(__xludf.DUMMYFUNCTION("""COMPUTED_VALUE"""),"1")</f>
        <v>1</v>
      </c>
      <c r="AB15" t="str">
        <f ca="1">IFERROR(__xludf.DUMMYFUNCTION("""COMPUTED_VALUE"""),"0")</f>
        <v>0</v>
      </c>
      <c r="AC15" t="str">
        <f ca="1">IFERROR(__xludf.DUMMYFUNCTION("""COMPUTED_VALUE"""),"1")</f>
        <v>1</v>
      </c>
      <c r="AD15" t="str">
        <f ca="1">IFERROR(__xludf.DUMMYFUNCTION("""COMPUTED_VALUE"""),"0")</f>
        <v>0</v>
      </c>
      <c r="AE15" t="str">
        <f ca="1">IFERROR(__xludf.DUMMYFUNCTION("""COMPUTED_VALUE"""),"0")</f>
        <v>0</v>
      </c>
      <c r="AF15">
        <f ca="1"/>
        <v>7</v>
      </c>
    </row>
    <row r="16" spans="1:39" ht="15.75" customHeight="1">
      <c r="A16" s="1">
        <f t="shared" si="2"/>
        <v>13</v>
      </c>
      <c r="B16" t="str">
        <f t="shared" si="0"/>
        <v>1101</v>
      </c>
      <c r="F16" s="25">
        <v>56</v>
      </c>
      <c r="T16">
        <f ca="1"/>
        <v>111</v>
      </c>
      <c r="V16" t="str">
        <f t="shared" ca="1" si="3"/>
        <v>01101111</v>
      </c>
      <c r="W16" t="str">
        <f t="shared" ca="1" si="4"/>
        <v>1</v>
      </c>
      <c r="X16" t="str">
        <f t="shared" ca="1" si="5"/>
        <v>1</v>
      </c>
      <c r="Y16" t="str">
        <f ca="1">IFERROR(__xludf.DUMMYFUNCTION("""COMPUTED_VALUE"""),"1")</f>
        <v>1</v>
      </c>
      <c r="Z16" t="str">
        <f ca="1">IFERROR(__xludf.DUMMYFUNCTION("""COMPUTED_VALUE"""),"1")</f>
        <v>1</v>
      </c>
      <c r="AA16" t="str">
        <f ca="1">IFERROR(__xludf.DUMMYFUNCTION("""COMPUTED_VALUE"""),"1")</f>
        <v>1</v>
      </c>
      <c r="AB16" t="str">
        <f ca="1">IFERROR(__xludf.DUMMYFUNCTION("""COMPUTED_VALUE"""),"0")</f>
        <v>0</v>
      </c>
      <c r="AC16" t="str">
        <f ca="1">IFERROR(__xludf.DUMMYFUNCTION("""COMPUTED_VALUE"""),"1")</f>
        <v>1</v>
      </c>
      <c r="AD16" t="str">
        <f ca="1">IFERROR(__xludf.DUMMYFUNCTION("""COMPUTED_VALUE"""),"1")</f>
        <v>1</v>
      </c>
      <c r="AE16" t="str">
        <f ca="1">IFERROR(__xludf.DUMMYFUNCTION("""COMPUTED_VALUE"""),"0")</f>
        <v>0</v>
      </c>
      <c r="AF16">
        <f ca="1"/>
        <v>5</v>
      </c>
    </row>
    <row r="17" spans="1:19" ht="15.75" customHeight="1">
      <c r="A17" s="1">
        <f t="shared" si="2"/>
        <v>14</v>
      </c>
      <c r="B17" t="str">
        <f t="shared" si="0"/>
        <v>1110</v>
      </c>
      <c r="F17" s="25">
        <v>184</v>
      </c>
    </row>
    <row r="18" spans="1:19" ht="15.75" customHeight="1">
      <c r="A18" s="1">
        <f t="shared" si="2"/>
        <v>15</v>
      </c>
      <c r="B18" t="str">
        <f t="shared" si="0"/>
        <v>1111</v>
      </c>
      <c r="F18" s="25">
        <v>47</v>
      </c>
    </row>
    <row r="19" spans="1:19" ht="15.75" customHeight="1">
      <c r="A19" s="1">
        <f t="shared" si="2"/>
        <v>16</v>
      </c>
      <c r="B19" t="str">
        <f t="shared" si="0"/>
        <v>10000</v>
      </c>
      <c r="F19" s="25">
        <v>163</v>
      </c>
    </row>
    <row r="20" spans="1:19" ht="15.75" customHeight="1">
      <c r="A20" s="1">
        <f t="shared" si="2"/>
        <v>17</v>
      </c>
      <c r="B20" t="str">
        <f t="shared" si="0"/>
        <v>10001</v>
      </c>
    </row>
    <row r="21" spans="1:19" ht="15.75" customHeight="1">
      <c r="A21" s="1">
        <f t="shared" si="2"/>
        <v>18</v>
      </c>
      <c r="B21" t="str">
        <f t="shared" si="0"/>
        <v>10010</v>
      </c>
      <c r="H21">
        <v>1</v>
      </c>
      <c r="I21">
        <v>1</v>
      </c>
      <c r="J21">
        <v>0</v>
      </c>
      <c r="K21" s="9">
        <v>1</v>
      </c>
      <c r="L21" s="9">
        <v>0</v>
      </c>
      <c r="M21">
        <v>0</v>
      </c>
      <c r="N21">
        <v>1</v>
      </c>
      <c r="O21">
        <v>1</v>
      </c>
      <c r="Q21" s="1" t="s">
        <v>46</v>
      </c>
      <c r="R21" t="e">
        <f ca="1">_xludf.TEXTJOIN(",",TRUE,H21:O21)</f>
        <v>#NAME?</v>
      </c>
      <c r="S21" s="1" t="s">
        <v>47</v>
      </c>
    </row>
    <row r="22" spans="1:19" ht="15.75" customHeight="1">
      <c r="A22">
        <v>191</v>
      </c>
      <c r="B22" s="29" t="str">
        <f t="shared" si="0"/>
        <v>10111111</v>
      </c>
      <c r="C22" t="str">
        <f>reverse(B22)</f>
        <v>11111101</v>
      </c>
      <c r="H22" t="str">
        <f>_xlfn.CONCAT(H21:O21)</f>
        <v>11010011</v>
      </c>
      <c r="Q22" t="e">
        <f ca="1">_xlfn.CONCAT(Q21:S21)</f>
        <v>#NAME?</v>
      </c>
    </row>
    <row r="23" spans="1:19" ht="15.75" customHeight="1">
      <c r="H23">
        <f>BIN2DEC(H22)</f>
        <v>211</v>
      </c>
    </row>
    <row r="24" spans="1:19" ht="15.75" customHeight="1">
      <c r="H24">
        <f t="array" ref="H24:O24">TRANSPOSE('Example-3'!L14:L21)</f>
        <v>1</v>
      </c>
      <c r="I24">
        <v>1</v>
      </c>
      <c r="J24">
        <v>1</v>
      </c>
      <c r="K24">
        <v>0</v>
      </c>
      <c r="L24">
        <v>1</v>
      </c>
      <c r="M24">
        <v>0</v>
      </c>
      <c r="N24">
        <v>0</v>
      </c>
      <c r="O24">
        <v>1</v>
      </c>
    </row>
    <row r="25" spans="1:19" ht="15.75" customHeight="1">
      <c r="H25" t="str">
        <f>_xlfn.CONCAT(H24:O24)</f>
        <v>11101001</v>
      </c>
    </row>
    <row r="26" spans="1:19" ht="15.75" customHeight="1">
      <c r="A26" s="1" t="s">
        <v>69</v>
      </c>
      <c r="B26" s="1">
        <v>1</v>
      </c>
      <c r="C26" s="1">
        <v>2</v>
      </c>
      <c r="D26" s="1">
        <v>3</v>
      </c>
      <c r="E26" s="1">
        <v>4</v>
      </c>
      <c r="F26" s="1">
        <v>5</v>
      </c>
      <c r="H26">
        <f>BIN2DEC(H25)</f>
        <v>233</v>
      </c>
    </row>
    <row r="27" spans="1:19" ht="15.75" customHeight="1">
      <c r="A27" s="1">
        <v>1</v>
      </c>
      <c r="B27" s="1" t="s">
        <v>71</v>
      </c>
      <c r="C27" s="1" t="s">
        <v>131</v>
      </c>
    </row>
    <row r="28" spans="1:19" ht="15.75" customHeight="1">
      <c r="A28" s="1">
        <v>2</v>
      </c>
      <c r="B28" s="1" t="s">
        <v>132</v>
      </c>
    </row>
    <row r="29" spans="1:19" ht="15.75" customHeight="1">
      <c r="A29" s="1">
        <v>3</v>
      </c>
      <c r="K29" s="2"/>
      <c r="L29" s="2"/>
    </row>
    <row r="30" spans="1:19" ht="15.75" customHeight="1">
      <c r="A30" s="1">
        <v>4</v>
      </c>
      <c r="H30" s="9" t="s">
        <v>31</v>
      </c>
      <c r="I30" s="9" t="s">
        <v>134</v>
      </c>
      <c r="J30" s="2" t="s">
        <v>37</v>
      </c>
      <c r="K30" s="1" t="s">
        <v>76</v>
      </c>
      <c r="L30" s="1" t="s">
        <v>135</v>
      </c>
    </row>
    <row r="31" spans="1:19" ht="15.75" customHeight="1">
      <c r="A31" s="1">
        <v>5</v>
      </c>
      <c r="H31" s="9">
        <v>3</v>
      </c>
      <c r="I31">
        <v>1</v>
      </c>
      <c r="J31" s="25">
        <v>1</v>
      </c>
      <c r="K31" s="26">
        <f t="shared" ref="K31:K38" si="7">IF(I31,IF(J31,1,-1),0)</f>
        <v>1</v>
      </c>
      <c r="L31">
        <f t="shared" ref="L31:L38" si="8">K31+H31</f>
        <v>4</v>
      </c>
    </row>
    <row r="32" spans="1:19" ht="15.75" customHeight="1">
      <c r="A32" s="22"/>
      <c r="H32" s="9">
        <v>3</v>
      </c>
      <c r="I32">
        <v>1</v>
      </c>
      <c r="J32" s="25">
        <v>0</v>
      </c>
      <c r="K32" s="26">
        <f t="shared" si="7"/>
        <v>-1</v>
      </c>
      <c r="L32">
        <f t="shared" si="8"/>
        <v>2</v>
      </c>
    </row>
    <row r="33" spans="1:14" ht="15.75" customHeight="1">
      <c r="A33" s="22"/>
      <c r="H33" s="1">
        <v>0</v>
      </c>
      <c r="I33">
        <v>1</v>
      </c>
      <c r="J33" s="25">
        <v>0</v>
      </c>
      <c r="K33" s="26">
        <f t="shared" si="7"/>
        <v>-1</v>
      </c>
      <c r="L33">
        <f t="shared" si="8"/>
        <v>-1</v>
      </c>
    </row>
    <row r="34" spans="1:14" ht="15.75" customHeight="1">
      <c r="A34" s="22"/>
      <c r="H34" s="9">
        <v>5</v>
      </c>
      <c r="I34">
        <v>1</v>
      </c>
      <c r="J34" s="25">
        <v>0</v>
      </c>
      <c r="K34" s="26">
        <f t="shared" si="7"/>
        <v>-1</v>
      </c>
      <c r="L34">
        <f t="shared" si="8"/>
        <v>4</v>
      </c>
    </row>
    <row r="35" spans="1:14" ht="15.75" customHeight="1">
      <c r="A35" s="22"/>
      <c r="H35" s="1">
        <v>0</v>
      </c>
      <c r="I35">
        <v>1</v>
      </c>
      <c r="J35" s="1">
        <v>1</v>
      </c>
      <c r="K35" s="26">
        <f t="shared" si="7"/>
        <v>1</v>
      </c>
      <c r="L35">
        <f t="shared" si="8"/>
        <v>1</v>
      </c>
    </row>
    <row r="36" spans="1:14" ht="15.75" customHeight="1">
      <c r="A36" s="22"/>
      <c r="H36" s="9">
        <v>4</v>
      </c>
      <c r="I36">
        <v>1</v>
      </c>
      <c r="J36" s="1">
        <v>1</v>
      </c>
      <c r="K36" s="26">
        <f t="shared" si="7"/>
        <v>1</v>
      </c>
      <c r="L36">
        <f t="shared" si="8"/>
        <v>5</v>
      </c>
    </row>
    <row r="37" spans="1:14" ht="15.75" customHeight="1">
      <c r="A37" s="22"/>
      <c r="H37" s="9">
        <v>5</v>
      </c>
      <c r="I37">
        <v>1</v>
      </c>
      <c r="J37" s="25">
        <v>0</v>
      </c>
      <c r="K37" s="26">
        <f t="shared" si="7"/>
        <v>-1</v>
      </c>
      <c r="L37">
        <f t="shared" si="8"/>
        <v>4</v>
      </c>
    </row>
    <row r="38" spans="1:14" ht="15.75" customHeight="1">
      <c r="H38" s="9">
        <v>1</v>
      </c>
      <c r="I38">
        <v>1</v>
      </c>
      <c r="J38" s="25">
        <v>0</v>
      </c>
      <c r="K38" s="26">
        <f t="shared" si="7"/>
        <v>-1</v>
      </c>
      <c r="L38">
        <f t="shared" si="8"/>
        <v>0</v>
      </c>
    </row>
    <row r="39" spans="1:14" ht="15.75" customHeight="1">
      <c r="I39">
        <f>BIN2DEC(reverse(_xlfn.CONCAT(I31:I38)))</f>
        <v>255</v>
      </c>
      <c r="J39">
        <f>BIN2DEC(reverse(_xlfn.CONCAT(J31:J38)))</f>
        <v>49</v>
      </c>
    </row>
    <row r="43" spans="1:14" ht="15.75" customHeight="1">
      <c r="G43">
        <f t="array" ref="G43:N43">TRANSPOSE('Example-3'!K14:K21)</f>
        <v>3</v>
      </c>
      <c r="H43">
        <v>3</v>
      </c>
      <c r="I43">
        <v>4</v>
      </c>
      <c r="J43">
        <v>5</v>
      </c>
      <c r="K43">
        <v>1</v>
      </c>
      <c r="L43">
        <v>4</v>
      </c>
      <c r="M43">
        <v>5</v>
      </c>
      <c r="N43">
        <v>1</v>
      </c>
    </row>
    <row r="44" spans="1:14" ht="15.75" customHeight="1">
      <c r="G44">
        <f t="array" ref="G44:N44">TRANSPOSE('Example-3'!L34:L41)</f>
        <v>0</v>
      </c>
      <c r="H44">
        <v>1</v>
      </c>
      <c r="I44">
        <v>1</v>
      </c>
      <c r="J44">
        <v>-1</v>
      </c>
      <c r="K44">
        <v>0</v>
      </c>
      <c r="L44">
        <v>-1</v>
      </c>
      <c r="M44">
        <v>-1</v>
      </c>
      <c r="N44">
        <v>1</v>
      </c>
    </row>
    <row r="45" spans="1:14" ht="15.75" customHeight="1">
      <c r="G45">
        <f t="array" ref="G45:N45">TRANSPOSE('Example-3'!K34:K41)</f>
        <v>3</v>
      </c>
      <c r="H45">
        <v>4</v>
      </c>
      <c r="I45">
        <v>5</v>
      </c>
      <c r="J45">
        <v>4</v>
      </c>
      <c r="K45">
        <v>1</v>
      </c>
      <c r="L45">
        <v>3</v>
      </c>
      <c r="M45">
        <v>4</v>
      </c>
      <c r="N45">
        <v>2</v>
      </c>
    </row>
    <row r="46" spans="1:14" ht="15.75" customHeight="1">
      <c r="G46">
        <f t="array" ref="G46:N46">TRANSPOSE('Example-3'!L48:L55)</f>
        <v>1</v>
      </c>
      <c r="H46">
        <v>1</v>
      </c>
      <c r="I46">
        <v>1</v>
      </c>
      <c r="J46">
        <v>1</v>
      </c>
      <c r="K46">
        <v>0</v>
      </c>
      <c r="L46">
        <v>1</v>
      </c>
      <c r="M46">
        <v>191</v>
      </c>
      <c r="N46">
        <v>0</v>
      </c>
    </row>
    <row r="49" spans="1:9" ht="15.75" customHeight="1">
      <c r="A49">
        <f t="shared" ref="A49:A56" si="9">BIN2DEC(_xlfn.CONCAT(B49:I49))</f>
        <v>128</v>
      </c>
      <c r="B49" s="1">
        <v>1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</row>
    <row r="50" spans="1:9" ht="15.75" customHeight="1">
      <c r="A50">
        <f t="shared" si="9"/>
        <v>64</v>
      </c>
      <c r="B50" s="1">
        <v>0</v>
      </c>
      <c r="C50" s="1">
        <v>1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</row>
    <row r="51" spans="1:9" ht="15.75" customHeight="1">
      <c r="A51">
        <f t="shared" si="9"/>
        <v>32</v>
      </c>
      <c r="B51" s="1">
        <v>0</v>
      </c>
      <c r="C51" s="1">
        <v>0</v>
      </c>
      <c r="D51" s="1">
        <v>1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</row>
    <row r="52" spans="1:9" ht="15.75" customHeight="1">
      <c r="A52">
        <f t="shared" si="9"/>
        <v>16</v>
      </c>
      <c r="B52" s="1">
        <v>0</v>
      </c>
      <c r="C52" s="1">
        <v>0</v>
      </c>
      <c r="D52" s="1">
        <v>0</v>
      </c>
      <c r="E52" s="1">
        <v>1</v>
      </c>
      <c r="F52" s="1">
        <v>0</v>
      </c>
      <c r="G52" s="1">
        <v>0</v>
      </c>
      <c r="H52" s="1">
        <v>0</v>
      </c>
      <c r="I52" s="1">
        <v>0</v>
      </c>
    </row>
    <row r="53" spans="1:9" ht="15.75" customHeight="1">
      <c r="A53">
        <f t="shared" si="9"/>
        <v>8</v>
      </c>
      <c r="B53" s="1">
        <v>0</v>
      </c>
      <c r="C53" s="1">
        <v>0</v>
      </c>
      <c r="D53" s="1">
        <v>0</v>
      </c>
      <c r="E53" s="1">
        <v>0</v>
      </c>
      <c r="F53" s="1">
        <v>1</v>
      </c>
      <c r="G53" s="1">
        <v>0</v>
      </c>
      <c r="H53" s="1">
        <v>0</v>
      </c>
      <c r="I53" s="1">
        <v>0</v>
      </c>
    </row>
    <row r="54" spans="1:9" ht="15.75" customHeight="1">
      <c r="A54">
        <f t="shared" si="9"/>
        <v>4</v>
      </c>
      <c r="B54" s="1">
        <v>0</v>
      </c>
      <c r="C54" s="1">
        <v>0</v>
      </c>
      <c r="D54" s="1">
        <v>0</v>
      </c>
      <c r="E54" s="1">
        <v>0</v>
      </c>
      <c r="F54" s="1">
        <v>0</v>
      </c>
      <c r="G54" s="1">
        <v>1</v>
      </c>
      <c r="H54" s="1">
        <v>0</v>
      </c>
      <c r="I54" s="1">
        <v>0</v>
      </c>
    </row>
    <row r="55" spans="1:9" ht="15.75" customHeight="1">
      <c r="A55">
        <f t="shared" si="9"/>
        <v>2</v>
      </c>
      <c r="B55" s="1">
        <v>0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1</v>
      </c>
      <c r="I55" s="1">
        <v>0</v>
      </c>
    </row>
    <row r="56" spans="1:9" ht="15.75" customHeight="1">
      <c r="A56">
        <f t="shared" si="9"/>
        <v>1</v>
      </c>
      <c r="B56" s="1">
        <v>0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1</v>
      </c>
    </row>
    <row r="66" ht="13"/>
    <row r="67" ht="13"/>
    <row r="68" ht="13"/>
    <row r="69" ht="13"/>
    <row r="70" ht="13"/>
    <row r="71" ht="13"/>
    <row r="72" ht="13"/>
    <row r="73" ht="13"/>
    <row r="74" ht="13"/>
    <row r="75" ht="13"/>
    <row r="76" ht="13"/>
    <row r="77" ht="13"/>
    <row r="78" ht="13"/>
    <row r="79" ht="13"/>
    <row r="80" ht="13"/>
    <row r="81" ht="13"/>
    <row r="82" ht="13"/>
    <row r="83" ht="13"/>
    <row r="84" ht="13"/>
    <row r="85" ht="13"/>
    <row r="86" ht="13"/>
    <row r="87" ht="13"/>
    <row r="88" ht="13"/>
    <row r="89" ht="13"/>
    <row r="90" ht="13"/>
    <row r="91" ht="13"/>
    <row r="92" ht="13"/>
    <row r="93" ht="13"/>
    <row r="94" ht="13"/>
    <row r="95" ht="13"/>
    <row r="96" ht="13"/>
    <row r="97" ht="13"/>
    <row r="98" ht="13"/>
    <row r="99" ht="13"/>
    <row r="100" ht="13"/>
    <row r="101" ht="13"/>
    <row r="102" ht="13"/>
    <row r="103" ht="13"/>
    <row r="104" ht="13"/>
    <row r="105" ht="13"/>
    <row r="106" ht="13"/>
    <row r="107" ht="13"/>
    <row r="108" ht="13"/>
    <row r="109" ht="13"/>
    <row r="110" ht="13"/>
    <row r="111" ht="13"/>
    <row r="112" ht="13"/>
    <row r="113" ht="13"/>
    <row r="114" ht="13"/>
    <row r="115" ht="13"/>
    <row r="116" ht="13"/>
    <row r="117" ht="13"/>
    <row r="118" ht="13"/>
    <row r="119" ht="13"/>
    <row r="120" ht="13"/>
    <row r="121" ht="13"/>
    <row r="122" ht="13"/>
    <row r="123" ht="13"/>
    <row r="124" ht="13"/>
    <row r="125" ht="13"/>
    <row r="126" ht="13"/>
    <row r="127" ht="13"/>
    <row r="128" ht="13"/>
    <row r="129" ht="13"/>
    <row r="130" ht="13"/>
    <row r="131" ht="13"/>
    <row r="132" ht="13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B2:Y315"/>
  <sheetViews>
    <sheetView workbookViewId="0">
      <selection activeCell="O20" sqref="O20"/>
    </sheetView>
  </sheetViews>
  <sheetFormatPr baseColWidth="10" defaultColWidth="14.5" defaultRowHeight="15.75" customHeight="1"/>
  <cols>
    <col min="1" max="26" width="6.83203125" customWidth="1"/>
  </cols>
  <sheetData>
    <row r="2" spans="2:23" ht="15.75" customHeight="1">
      <c r="D2" s="1">
        <v>0</v>
      </c>
      <c r="E2" s="1">
        <v>0</v>
      </c>
      <c r="F2" s="1">
        <v>0</v>
      </c>
      <c r="J2" s="1">
        <v>0</v>
      </c>
      <c r="K2" s="1">
        <v>1</v>
      </c>
      <c r="L2" s="1">
        <v>0</v>
      </c>
      <c r="M2" s="1">
        <v>1</v>
      </c>
      <c r="T2" s="1" t="s">
        <v>6</v>
      </c>
    </row>
    <row r="3" spans="2:23" ht="15.75" customHeight="1">
      <c r="D3" s="1">
        <v>0</v>
      </c>
      <c r="E3" s="1">
        <v>0</v>
      </c>
      <c r="F3" s="1">
        <v>1</v>
      </c>
      <c r="J3" s="1">
        <v>0</v>
      </c>
      <c r="K3" s="1">
        <v>1</v>
      </c>
      <c r="L3" s="1">
        <v>0</v>
      </c>
      <c r="M3" s="1">
        <v>0</v>
      </c>
      <c r="T3" s="1" t="s">
        <v>10</v>
      </c>
    </row>
    <row r="4" spans="2:23" ht="15.75" customHeight="1">
      <c r="D4" s="1">
        <v>0</v>
      </c>
      <c r="E4" s="1">
        <v>1</v>
      </c>
      <c r="F4" s="1">
        <v>0</v>
      </c>
      <c r="J4" s="1">
        <v>0</v>
      </c>
      <c r="K4" s="1">
        <v>1</v>
      </c>
      <c r="L4" s="1">
        <v>1</v>
      </c>
      <c r="M4" s="1">
        <v>1</v>
      </c>
      <c r="T4" s="1" t="s">
        <v>125</v>
      </c>
    </row>
    <row r="5" spans="2:23" ht="15.75" customHeight="1">
      <c r="D5" s="1">
        <v>0</v>
      </c>
      <c r="E5" s="1">
        <v>1</v>
      </c>
      <c r="F5" s="1">
        <v>1</v>
      </c>
      <c r="J5" s="1">
        <v>1</v>
      </c>
      <c r="K5" s="1">
        <v>1</v>
      </c>
      <c r="L5" s="1">
        <v>1</v>
      </c>
      <c r="M5" s="1">
        <v>0</v>
      </c>
      <c r="T5" s="1" t="s">
        <v>18</v>
      </c>
    </row>
    <row r="6" spans="2:23" ht="15.75" customHeight="1">
      <c r="D6" s="1">
        <v>1</v>
      </c>
      <c r="E6" s="1">
        <v>0</v>
      </c>
      <c r="F6" s="1">
        <v>0</v>
      </c>
      <c r="J6" s="1">
        <v>0</v>
      </c>
      <c r="K6" s="1">
        <v>1</v>
      </c>
      <c r="L6" s="1">
        <v>1</v>
      </c>
      <c r="M6" s="1">
        <v>0</v>
      </c>
      <c r="T6" s="1" t="s">
        <v>126</v>
      </c>
    </row>
    <row r="7" spans="2:23" ht="15.75" customHeight="1">
      <c r="D7" s="1">
        <v>1</v>
      </c>
      <c r="E7" s="1">
        <v>0</v>
      </c>
      <c r="F7" s="1">
        <v>1</v>
      </c>
      <c r="J7" s="1">
        <v>1</v>
      </c>
      <c r="K7" s="1">
        <v>0</v>
      </c>
      <c r="L7" s="1">
        <v>0</v>
      </c>
      <c r="M7" s="1">
        <v>0</v>
      </c>
      <c r="T7" s="1" t="s">
        <v>20</v>
      </c>
    </row>
    <row r="8" spans="2:23" ht="15.75" customHeight="1">
      <c r="D8" s="1">
        <v>1</v>
      </c>
      <c r="E8" s="1">
        <v>1</v>
      </c>
      <c r="F8" s="1">
        <v>0</v>
      </c>
      <c r="J8" s="1">
        <v>1</v>
      </c>
      <c r="K8" s="1">
        <v>1</v>
      </c>
      <c r="L8" s="1">
        <v>1</v>
      </c>
      <c r="M8" s="1">
        <v>1</v>
      </c>
    </row>
    <row r="9" spans="2:23" ht="15.75" customHeight="1">
      <c r="D9" s="1">
        <v>1</v>
      </c>
      <c r="E9" s="1">
        <v>1</v>
      </c>
      <c r="F9" s="1">
        <v>1</v>
      </c>
      <c r="J9" s="1">
        <v>0</v>
      </c>
      <c r="K9" s="1">
        <v>0</v>
      </c>
      <c r="L9" s="1">
        <v>0</v>
      </c>
      <c r="M9" s="1">
        <v>0</v>
      </c>
      <c r="Q9" s="1" t="s">
        <v>21</v>
      </c>
    </row>
    <row r="10" spans="2:23" ht="15.75" customHeight="1">
      <c r="Q10" s="1" t="s">
        <v>35</v>
      </c>
      <c r="R10" s="1" t="s">
        <v>36</v>
      </c>
      <c r="S10" s="1" t="s">
        <v>22</v>
      </c>
      <c r="T10" s="1" t="s">
        <v>23</v>
      </c>
      <c r="U10" s="1" t="s">
        <v>24</v>
      </c>
      <c r="V10" s="1" t="s">
        <v>25</v>
      </c>
    </row>
    <row r="12" spans="2:23" ht="15.75" customHeight="1">
      <c r="B12" s="1">
        <v>0</v>
      </c>
      <c r="C12" s="1">
        <v>0</v>
      </c>
      <c r="D12" s="1">
        <v>0</v>
      </c>
    </row>
    <row r="13" spans="2:23" ht="15.75" customHeight="1">
      <c r="B13" s="40" t="s">
        <v>25</v>
      </c>
      <c r="C13" s="38"/>
      <c r="D13" s="38"/>
      <c r="E13" s="1" t="s">
        <v>24</v>
      </c>
      <c r="G13" s="1" t="s">
        <v>127</v>
      </c>
      <c r="I13" s="40" t="s">
        <v>23</v>
      </c>
      <c r="J13" s="38"/>
      <c r="K13" s="38"/>
      <c r="L13" s="1" t="s">
        <v>22</v>
      </c>
      <c r="N13" s="1" t="s">
        <v>128</v>
      </c>
      <c r="P13" s="40" t="s">
        <v>36</v>
      </c>
      <c r="Q13" s="38"/>
      <c r="R13" s="38"/>
      <c r="S13" s="1" t="s">
        <v>35</v>
      </c>
      <c r="U13" s="1" t="s">
        <v>129</v>
      </c>
      <c r="V13" s="1" t="s">
        <v>130</v>
      </c>
      <c r="W13" s="1" t="s">
        <v>95</v>
      </c>
    </row>
    <row r="14" spans="2:23" ht="15.75" customHeight="1">
      <c r="B14" s="1">
        <v>0</v>
      </c>
      <c r="C14" s="1">
        <v>0</v>
      </c>
      <c r="D14" s="1">
        <v>0</v>
      </c>
      <c r="E14" s="1">
        <v>3</v>
      </c>
      <c r="G14" t="b">
        <f t="shared" ref="G14:G15" si="0">COUNTIF(B19:D19, TRUE)&gt;=E14</f>
        <v>0</v>
      </c>
      <c r="I14" s="1">
        <v>0</v>
      </c>
      <c r="J14" s="1">
        <v>0</v>
      </c>
      <c r="L14" s="1">
        <v>2</v>
      </c>
      <c r="N14" t="b">
        <f t="shared" ref="N14:N16" si="1">COUNTIF(I19:J19, TRUE)&gt;=L14</f>
        <v>0</v>
      </c>
      <c r="P14" s="1">
        <v>0</v>
      </c>
      <c r="Q14" s="1">
        <v>0</v>
      </c>
      <c r="R14" s="1">
        <v>0</v>
      </c>
      <c r="S14" s="1">
        <v>3</v>
      </c>
      <c r="U14" t="b">
        <f t="shared" ref="U14:U17" si="2">COUNTIF(P19:R19, TRUE)&gt;=S14</f>
        <v>0</v>
      </c>
      <c r="V14" s="1">
        <v>0</v>
      </c>
      <c r="W14" t="b">
        <f>_xlfn.XOR(V14,U14)</f>
        <v>0</v>
      </c>
    </row>
    <row r="15" spans="2:23" ht="15.75" customHeight="1">
      <c r="B15" s="1">
        <v>0</v>
      </c>
      <c r="C15" s="1">
        <v>0</v>
      </c>
      <c r="D15" s="1">
        <v>0</v>
      </c>
      <c r="E15" s="1">
        <v>3</v>
      </c>
      <c r="G15" t="b">
        <f t="shared" si="0"/>
        <v>0</v>
      </c>
      <c r="I15" s="1">
        <v>0</v>
      </c>
      <c r="J15" s="1">
        <v>0</v>
      </c>
      <c r="L15" s="1">
        <v>2</v>
      </c>
      <c r="N15" t="b">
        <f t="shared" si="1"/>
        <v>0</v>
      </c>
      <c r="P15" s="1">
        <v>0</v>
      </c>
      <c r="Q15" s="1">
        <v>0</v>
      </c>
      <c r="R15" s="1">
        <v>0</v>
      </c>
      <c r="S15" s="1">
        <v>3</v>
      </c>
      <c r="U15" t="b">
        <f t="shared" si="2"/>
        <v>0</v>
      </c>
      <c r="V15" s="1">
        <v>1</v>
      </c>
      <c r="W15" t="b">
        <f>_xlfn.XOR(V15,U15)</f>
        <v>1</v>
      </c>
    </row>
    <row r="16" spans="2:23" ht="15.75" customHeight="1">
      <c r="I16" s="1">
        <v>0</v>
      </c>
      <c r="J16" s="1">
        <v>0</v>
      </c>
      <c r="L16" s="1">
        <v>2</v>
      </c>
      <c r="N16" t="b">
        <f t="shared" si="1"/>
        <v>0</v>
      </c>
      <c r="P16" s="1">
        <v>0</v>
      </c>
      <c r="Q16" s="1">
        <v>0</v>
      </c>
      <c r="R16" s="1">
        <v>0</v>
      </c>
      <c r="S16" s="1">
        <v>3</v>
      </c>
      <c r="U16" t="b">
        <f t="shared" si="2"/>
        <v>0</v>
      </c>
      <c r="V16" s="1">
        <v>0</v>
      </c>
      <c r="W16" t="b">
        <f>_xlfn.XOR(V16,U16)</f>
        <v>0</v>
      </c>
    </row>
    <row r="17" spans="2:25" ht="15.75" customHeight="1">
      <c r="P17" s="1">
        <v>0</v>
      </c>
      <c r="Q17" s="1">
        <v>0</v>
      </c>
      <c r="R17" s="1">
        <v>0</v>
      </c>
      <c r="S17" s="1">
        <v>3</v>
      </c>
      <c r="U17" t="b">
        <f t="shared" si="2"/>
        <v>0</v>
      </c>
      <c r="V17" s="1">
        <v>1</v>
      </c>
      <c r="W17" t="b">
        <f>_xlfn.XOR(V17,U17)</f>
        <v>1</v>
      </c>
    </row>
    <row r="19" spans="2:25" ht="15.75" customHeight="1">
      <c r="B19" t="b">
        <f>_xlfn.XOR(B14,B12)</f>
        <v>0</v>
      </c>
      <c r="C19" t="b">
        <f>_xlfn.XOR(C14,C12)</f>
        <v>0</v>
      </c>
      <c r="D19" t="b">
        <f>_xlfn.XOR(D14,D12)</f>
        <v>0</v>
      </c>
      <c r="I19" t="b">
        <f>_xlfn.XOR($G$14,I14)</f>
        <v>0</v>
      </c>
      <c r="J19" t="b">
        <f>_xlfn.XOR($G$15,J14)</f>
        <v>0</v>
      </c>
      <c r="P19" t="b">
        <f>_xlfn.XOR($N$14,P14)</f>
        <v>0</v>
      </c>
      <c r="Q19" t="b">
        <f>_xlfn.XOR($N$15,Q14)</f>
        <v>0</v>
      </c>
      <c r="R19" t="b">
        <f>_xlfn.XOR($N$16,R14)</f>
        <v>0</v>
      </c>
      <c r="V19" s="1" t="s">
        <v>133</v>
      </c>
      <c r="W19">
        <f t="shared" ref="W19:W22" si="3">IF(W14,IF(V14,1,-1),0)</f>
        <v>0</v>
      </c>
    </row>
    <row r="20" spans="2:25" ht="15.75" customHeight="1">
      <c r="B20" t="b">
        <f>_xlfn.XOR(B15,B12)</f>
        <v>0</v>
      </c>
      <c r="C20" t="b">
        <f>_xlfn.XOR(C15,C12)</f>
        <v>0</v>
      </c>
      <c r="D20" t="b">
        <f>_xlfn.XOR(D15,D12)</f>
        <v>0</v>
      </c>
      <c r="I20" t="b">
        <f>_xlfn.XOR($G$14,I15)</f>
        <v>0</v>
      </c>
      <c r="J20" t="b">
        <f>_xlfn.XOR($G$15,J15)</f>
        <v>0</v>
      </c>
      <c r="P20" t="b">
        <f>_xlfn.XOR($N$14,P15)</f>
        <v>0</v>
      </c>
      <c r="Q20" t="b">
        <f>_xlfn.XOR($N$15,Q15)</f>
        <v>0</v>
      </c>
      <c r="R20" t="b">
        <f>_xlfn.XOR($N$16,R15)</f>
        <v>0</v>
      </c>
      <c r="W20">
        <f t="shared" si="3"/>
        <v>1</v>
      </c>
    </row>
    <row r="21" spans="2:25" ht="15.75" customHeight="1">
      <c r="I21" t="b">
        <f>_xlfn.XOR($G$14,I16)</f>
        <v>0</v>
      </c>
      <c r="J21" t="b">
        <f>_xlfn.XOR($G$15,J16)</f>
        <v>0</v>
      </c>
      <c r="P21" t="b">
        <f>_xlfn.XOR($N$14,P16)</f>
        <v>0</v>
      </c>
      <c r="Q21" t="b">
        <f>_xlfn.XOR($N$15,Q16)</f>
        <v>0</v>
      </c>
      <c r="R21" t="b">
        <f>_xlfn.XOR($N$16,R16)</f>
        <v>0</v>
      </c>
      <c r="W21">
        <f t="shared" si="3"/>
        <v>0</v>
      </c>
    </row>
    <row r="22" spans="2:25" ht="15.75" customHeight="1">
      <c r="P22" t="b">
        <f>_xlfn.XOR($N$14,P17)</f>
        <v>0</v>
      </c>
      <c r="Q22" t="b">
        <f>_xlfn.XOR($N$15,Q17)</f>
        <v>0</v>
      </c>
      <c r="R22" t="b">
        <f>_xlfn.XOR($N$16,R17)</f>
        <v>0</v>
      </c>
      <c r="W22">
        <f t="shared" si="3"/>
        <v>1</v>
      </c>
    </row>
    <row r="23" spans="2:25" ht="15.75" customHeight="1">
      <c r="T23" s="1" t="s">
        <v>136</v>
      </c>
    </row>
    <row r="24" spans="2:25" ht="15.75" customHeight="1">
      <c r="B24" s="1">
        <v>0</v>
      </c>
      <c r="C24" s="1">
        <v>0</v>
      </c>
      <c r="D24" s="1">
        <v>1</v>
      </c>
    </row>
    <row r="25" spans="2:25" ht="15.75" customHeight="1">
      <c r="B25" s="40" t="s">
        <v>25</v>
      </c>
      <c r="C25" s="38"/>
      <c r="D25" s="38"/>
      <c r="E25" s="1" t="s">
        <v>24</v>
      </c>
      <c r="G25" s="1" t="s">
        <v>127</v>
      </c>
      <c r="I25" s="40" t="s">
        <v>23</v>
      </c>
      <c r="J25" s="38"/>
      <c r="K25" s="38"/>
      <c r="L25" s="1" t="s">
        <v>22</v>
      </c>
      <c r="N25" s="1" t="s">
        <v>128</v>
      </c>
      <c r="P25" s="40" t="s">
        <v>36</v>
      </c>
      <c r="Q25" s="38"/>
      <c r="R25" s="38"/>
      <c r="S25" s="1" t="s">
        <v>35</v>
      </c>
      <c r="U25" s="1" t="s">
        <v>129</v>
      </c>
      <c r="V25" s="1" t="s">
        <v>130</v>
      </c>
      <c r="W25" s="1" t="s">
        <v>95</v>
      </c>
    </row>
    <row r="26" spans="2:25" ht="15.75" customHeight="1">
      <c r="B26" s="1">
        <v>0</v>
      </c>
      <c r="C26" s="1">
        <v>0</v>
      </c>
      <c r="D26" s="1">
        <v>0</v>
      </c>
      <c r="E26" s="1">
        <v>3</v>
      </c>
      <c r="G26" t="b">
        <f t="shared" ref="G26:G27" si="4">COUNTIF(B31:D31, TRUE)&gt;=E26</f>
        <v>0</v>
      </c>
      <c r="I26" s="1">
        <v>0</v>
      </c>
      <c r="J26" s="1">
        <v>0</v>
      </c>
      <c r="L26" s="1">
        <v>2</v>
      </c>
      <c r="N26" t="b">
        <f t="shared" ref="N26:N28" si="5">COUNTIF(I31:J31, TRUE)&gt;=L26</f>
        <v>0</v>
      </c>
      <c r="P26" s="1">
        <v>0</v>
      </c>
      <c r="Q26" s="1">
        <v>0</v>
      </c>
      <c r="R26" s="1">
        <v>0</v>
      </c>
      <c r="S26" s="1">
        <v>3</v>
      </c>
      <c r="U26" t="b">
        <f t="shared" ref="U26:U29" si="6">COUNTIF(P31:R31, TRUE)&gt;=S26</f>
        <v>0</v>
      </c>
      <c r="V26" s="1">
        <v>0</v>
      </c>
      <c r="W26" t="b">
        <f>_xlfn.XOR(V26,U26)</f>
        <v>0</v>
      </c>
    </row>
    <row r="27" spans="2:25" ht="15.75" customHeight="1">
      <c r="B27" s="1">
        <v>0</v>
      </c>
      <c r="C27" s="1">
        <v>0</v>
      </c>
      <c r="D27" s="1">
        <v>0</v>
      </c>
      <c r="E27" s="1">
        <v>3</v>
      </c>
      <c r="G27" t="b">
        <f t="shared" si="4"/>
        <v>0</v>
      </c>
      <c r="I27" s="1">
        <v>0</v>
      </c>
      <c r="J27" s="1">
        <v>0</v>
      </c>
      <c r="L27" s="1">
        <v>2</v>
      </c>
      <c r="N27" t="b">
        <f t="shared" si="5"/>
        <v>0</v>
      </c>
      <c r="P27" s="1">
        <v>0</v>
      </c>
      <c r="Q27" s="1">
        <v>0</v>
      </c>
      <c r="R27" s="1">
        <v>0</v>
      </c>
      <c r="S27" s="1">
        <v>3</v>
      </c>
      <c r="U27" t="b">
        <f t="shared" si="6"/>
        <v>0</v>
      </c>
      <c r="V27" s="1">
        <v>1</v>
      </c>
      <c r="W27" t="b">
        <f>_xlfn.XOR(V27,U27)</f>
        <v>1</v>
      </c>
    </row>
    <row r="28" spans="2:25" ht="15.75" customHeight="1">
      <c r="I28" s="1">
        <v>0</v>
      </c>
      <c r="J28" s="1">
        <v>0</v>
      </c>
      <c r="L28" s="1">
        <v>2</v>
      </c>
      <c r="N28" t="b">
        <f t="shared" si="5"/>
        <v>0</v>
      </c>
      <c r="P28" s="1">
        <v>0</v>
      </c>
      <c r="Q28" s="1">
        <v>0</v>
      </c>
      <c r="R28" s="1">
        <v>0</v>
      </c>
      <c r="S28" s="1">
        <v>3</v>
      </c>
      <c r="U28" t="b">
        <f t="shared" si="6"/>
        <v>0</v>
      </c>
      <c r="V28" s="1">
        <v>0</v>
      </c>
      <c r="W28" t="b">
        <f>_xlfn.XOR(V28,U28)</f>
        <v>0</v>
      </c>
    </row>
    <row r="29" spans="2:25" ht="15.75" customHeight="1">
      <c r="P29" s="1">
        <v>0</v>
      </c>
      <c r="Q29" s="1">
        <v>0</v>
      </c>
      <c r="R29" s="1">
        <v>0</v>
      </c>
      <c r="S29" s="1">
        <v>3</v>
      </c>
      <c r="U29" t="b">
        <f t="shared" si="6"/>
        <v>0</v>
      </c>
      <c r="V29" s="1">
        <v>0</v>
      </c>
      <c r="W29" t="b">
        <f>_xlfn.XOR(V29,U29)</f>
        <v>0</v>
      </c>
    </row>
    <row r="31" spans="2:25" ht="15.75" customHeight="1">
      <c r="B31" t="b">
        <f>_xlfn.XOR(B26,B24)</f>
        <v>0</v>
      </c>
      <c r="C31" t="b">
        <f>_xlfn.XOR(C26,C24)</f>
        <v>0</v>
      </c>
      <c r="D31" t="b">
        <f>_xlfn.XOR(D26,D24)</f>
        <v>1</v>
      </c>
      <c r="I31" t="b">
        <f>_xlfn.XOR($G$14,I26)</f>
        <v>0</v>
      </c>
      <c r="J31" t="b">
        <f>_xlfn.XOR($G$15,J26)</f>
        <v>0</v>
      </c>
      <c r="P31" t="b">
        <f>_xlfn.XOR($N$14,P26)</f>
        <v>0</v>
      </c>
      <c r="Q31" t="b">
        <f>_xlfn.XOR($N$15,Q26)</f>
        <v>0</v>
      </c>
      <c r="R31" t="b">
        <f>_xlfn.XOR($N$16,R26)</f>
        <v>0</v>
      </c>
      <c r="V31" s="1" t="s">
        <v>138</v>
      </c>
      <c r="W31" t="b">
        <f t="shared" ref="W31:Y34" si="7">AND($W26,(_xlfn.XOR(P31,NOT($U26))))</f>
        <v>0</v>
      </c>
      <c r="X31" t="b">
        <f t="shared" si="7"/>
        <v>0</v>
      </c>
      <c r="Y31" t="b">
        <f t="shared" si="7"/>
        <v>0</v>
      </c>
    </row>
    <row r="32" spans="2:25" ht="15.75" customHeight="1">
      <c r="B32" t="b">
        <f>_xlfn.XOR(B27,B24)</f>
        <v>0</v>
      </c>
      <c r="C32" t="b">
        <f>_xlfn.XOR(C27,C24)</f>
        <v>0</v>
      </c>
      <c r="D32" t="b">
        <f>_xlfn.XOR(D27,D24)</f>
        <v>1</v>
      </c>
      <c r="I32" t="b">
        <f>_xlfn.XOR($G$14,I27)</f>
        <v>0</v>
      </c>
      <c r="J32" t="b">
        <f>_xlfn.XOR($G$15,J27)</f>
        <v>0</v>
      </c>
      <c r="P32" t="b">
        <f>_xlfn.XOR($N$14,P27)</f>
        <v>0</v>
      </c>
      <c r="Q32" t="b">
        <f>_xlfn.XOR($N$15,Q27)</f>
        <v>0</v>
      </c>
      <c r="R32" t="b">
        <f>_xlfn.XOR($N$16,R27)</f>
        <v>0</v>
      </c>
      <c r="W32" t="b">
        <f t="shared" si="7"/>
        <v>1</v>
      </c>
      <c r="X32" t="b">
        <f t="shared" si="7"/>
        <v>1</v>
      </c>
      <c r="Y32" t="b">
        <f t="shared" si="7"/>
        <v>1</v>
      </c>
    </row>
    <row r="33" spans="2:25" ht="15.75" customHeight="1">
      <c r="I33" t="b">
        <f>_xlfn.XOR($G$14,I28)</f>
        <v>0</v>
      </c>
      <c r="J33" t="b">
        <f>_xlfn.XOR($G$15,J28)</f>
        <v>0</v>
      </c>
      <c r="P33" t="b">
        <f>_xlfn.XOR($N$14,P28)</f>
        <v>0</v>
      </c>
      <c r="Q33" t="b">
        <f>_xlfn.XOR($N$15,Q28)</f>
        <v>0</v>
      </c>
      <c r="R33" t="b">
        <f>_xlfn.XOR($N$16,R28)</f>
        <v>0</v>
      </c>
      <c r="W33" t="b">
        <f t="shared" si="7"/>
        <v>0</v>
      </c>
      <c r="X33" t="b">
        <f t="shared" si="7"/>
        <v>0</v>
      </c>
      <c r="Y33" t="b">
        <f t="shared" si="7"/>
        <v>0</v>
      </c>
    </row>
    <row r="34" spans="2:25" ht="15.75" customHeight="1">
      <c r="P34" t="b">
        <f>_xlfn.XOR($N$14,P29)</f>
        <v>0</v>
      </c>
      <c r="Q34" t="b">
        <f>_xlfn.XOR($N$15,Q29)</f>
        <v>0</v>
      </c>
      <c r="R34" t="b">
        <f>_xlfn.XOR($N$16,R29)</f>
        <v>0</v>
      </c>
      <c r="W34" t="b">
        <f t="shared" si="7"/>
        <v>0</v>
      </c>
      <c r="X34" t="b">
        <f t="shared" si="7"/>
        <v>0</v>
      </c>
      <c r="Y34" t="b">
        <f t="shared" si="7"/>
        <v>0</v>
      </c>
    </row>
    <row r="35" spans="2:25" ht="15.75" customHeight="1">
      <c r="T35" s="1" t="s">
        <v>140</v>
      </c>
    </row>
    <row r="36" spans="2:25" ht="15.75" customHeight="1">
      <c r="B36" s="1">
        <v>0</v>
      </c>
      <c r="C36" s="1">
        <v>1</v>
      </c>
      <c r="D36" s="1">
        <v>0</v>
      </c>
    </row>
    <row r="37" spans="2:25" ht="15.75" customHeight="1">
      <c r="B37" s="40" t="s">
        <v>25</v>
      </c>
      <c r="C37" s="38"/>
      <c r="D37" s="38"/>
      <c r="E37" s="1" t="s">
        <v>24</v>
      </c>
      <c r="G37" s="1" t="s">
        <v>127</v>
      </c>
      <c r="I37" s="40" t="s">
        <v>23</v>
      </c>
      <c r="J37" s="38"/>
      <c r="K37" s="38"/>
      <c r="L37" s="1" t="s">
        <v>22</v>
      </c>
      <c r="N37" s="1" t="s">
        <v>128</v>
      </c>
      <c r="P37" s="40" t="s">
        <v>36</v>
      </c>
      <c r="Q37" s="38"/>
      <c r="R37" s="38"/>
      <c r="S37" s="1" t="s">
        <v>35</v>
      </c>
      <c r="U37" s="1" t="s">
        <v>129</v>
      </c>
      <c r="V37" s="1" t="s">
        <v>130</v>
      </c>
      <c r="W37" s="1" t="s">
        <v>95</v>
      </c>
    </row>
    <row r="38" spans="2:25" ht="15.75" customHeight="1">
      <c r="B38" s="1">
        <v>0</v>
      </c>
      <c r="C38" s="1">
        <v>0</v>
      </c>
      <c r="D38" s="1">
        <v>0</v>
      </c>
      <c r="E38" s="1">
        <v>3</v>
      </c>
      <c r="G38" t="b">
        <f t="shared" ref="G38:G39" si="8">COUNTIF(B43:D43, TRUE)&gt;=E38</f>
        <v>0</v>
      </c>
      <c r="I38" s="1">
        <v>0</v>
      </c>
      <c r="J38" s="1">
        <v>0</v>
      </c>
      <c r="L38" s="1">
        <v>2</v>
      </c>
      <c r="N38" t="b">
        <f t="shared" ref="N38:N40" si="9">COUNTIF(I43:J43, TRUE)&gt;=L38</f>
        <v>0</v>
      </c>
      <c r="P38" s="1">
        <v>0</v>
      </c>
      <c r="Q38" s="1">
        <v>0</v>
      </c>
      <c r="R38" s="1">
        <v>0</v>
      </c>
      <c r="S38" s="1">
        <v>3</v>
      </c>
      <c r="U38" t="b">
        <f t="shared" ref="U38:U41" si="10">COUNTIF(P43:R43, TRUE)&gt;=S38</f>
        <v>0</v>
      </c>
      <c r="V38" s="1">
        <v>0</v>
      </c>
      <c r="W38" t="b">
        <f>_xlfn.XOR(V38,U38)</f>
        <v>0</v>
      </c>
    </row>
    <row r="39" spans="2:25" ht="15.75" customHeight="1">
      <c r="B39" s="1">
        <v>0</v>
      </c>
      <c r="C39" s="1">
        <v>0</v>
      </c>
      <c r="D39" s="1">
        <v>0</v>
      </c>
      <c r="E39" s="1">
        <v>3</v>
      </c>
      <c r="G39" t="b">
        <f t="shared" si="8"/>
        <v>0</v>
      </c>
      <c r="I39" s="1">
        <v>0</v>
      </c>
      <c r="J39" s="1">
        <v>0</v>
      </c>
      <c r="L39" s="1">
        <v>2</v>
      </c>
      <c r="N39" t="b">
        <f t="shared" si="9"/>
        <v>0</v>
      </c>
      <c r="P39" s="1">
        <v>1</v>
      </c>
      <c r="Q39" s="1">
        <v>0</v>
      </c>
      <c r="R39" s="1">
        <v>0</v>
      </c>
      <c r="S39" s="1">
        <v>3</v>
      </c>
      <c r="U39" t="b">
        <f t="shared" si="10"/>
        <v>0</v>
      </c>
      <c r="V39" s="1">
        <v>1</v>
      </c>
      <c r="W39" t="b">
        <f>_xlfn.XOR(V39,U39)</f>
        <v>1</v>
      </c>
    </row>
    <row r="40" spans="2:25" ht="15.75" customHeight="1">
      <c r="I40" s="1">
        <v>0</v>
      </c>
      <c r="J40" s="1">
        <v>0</v>
      </c>
      <c r="L40" s="1">
        <v>2</v>
      </c>
      <c r="N40" t="b">
        <f t="shared" si="9"/>
        <v>0</v>
      </c>
      <c r="P40" s="1">
        <v>0</v>
      </c>
      <c r="Q40" s="1">
        <v>0</v>
      </c>
      <c r="R40" s="1">
        <v>0</v>
      </c>
      <c r="S40" s="1">
        <v>3</v>
      </c>
      <c r="U40" t="b">
        <f t="shared" si="10"/>
        <v>0</v>
      </c>
      <c r="V40" s="1">
        <v>1</v>
      </c>
      <c r="W40" t="b">
        <f>_xlfn.XOR(V40,U40)</f>
        <v>1</v>
      </c>
    </row>
    <row r="41" spans="2:25" ht="15.75" customHeight="1">
      <c r="P41" s="1">
        <v>0</v>
      </c>
      <c r="Q41" s="1">
        <v>0</v>
      </c>
      <c r="R41" s="1">
        <v>0</v>
      </c>
      <c r="S41" s="1">
        <v>3</v>
      </c>
      <c r="U41" t="b">
        <f t="shared" si="10"/>
        <v>0</v>
      </c>
      <c r="V41" s="1">
        <v>1</v>
      </c>
      <c r="W41" t="b">
        <f>_xlfn.XOR(V41,U41)</f>
        <v>1</v>
      </c>
    </row>
    <row r="42" spans="2:25" ht="15.75" customHeight="1">
      <c r="L42" s="1" t="s">
        <v>141</v>
      </c>
      <c r="N42" s="1" t="s">
        <v>142</v>
      </c>
    </row>
    <row r="43" spans="2:25" ht="15.75" customHeight="1">
      <c r="B43" t="b">
        <f>_xlfn.XOR(B38,B36)</f>
        <v>0</v>
      </c>
      <c r="C43" t="b">
        <f>_xlfn.XOR(C38,C36)</f>
        <v>1</v>
      </c>
      <c r="D43" t="b">
        <f>_xlfn.XOR(D38,D36)</f>
        <v>0</v>
      </c>
      <c r="I43" t="b">
        <f>_xlfn.XOR($G$14,I38)</f>
        <v>0</v>
      </c>
      <c r="J43" t="b">
        <f>_xlfn.XOR($G$15,J38)</f>
        <v>0</v>
      </c>
      <c r="L43">
        <f t="shared" ref="L43:L45" si="11">IF(N43,IF(N38,1,-1),0)</f>
        <v>-1</v>
      </c>
      <c r="N43" t="b">
        <f t="shared" ref="N43:N45" si="12">OR(W43:W46)</f>
        <v>1</v>
      </c>
      <c r="P43" t="b">
        <f>_xlfn.XOR($N$14,P38)</f>
        <v>0</v>
      </c>
      <c r="Q43" t="b">
        <f>_xlfn.XOR($N$15,Q38)</f>
        <v>0</v>
      </c>
      <c r="R43" t="b">
        <f>_xlfn.XOR($N$16,R38)</f>
        <v>0</v>
      </c>
      <c r="V43" s="1" t="s">
        <v>138</v>
      </c>
      <c r="W43" t="b">
        <f t="shared" ref="W43:Y46" si="13">AND($W38,(_xlfn.XOR(P43,NOT($U38))))</f>
        <v>0</v>
      </c>
      <c r="X43" t="b">
        <f t="shared" si="13"/>
        <v>0</v>
      </c>
      <c r="Y43" t="b">
        <f t="shared" si="13"/>
        <v>0</v>
      </c>
    </row>
    <row r="44" spans="2:25" ht="15.75" customHeight="1">
      <c r="B44" t="b">
        <f>_xlfn.XOR(B39,B36)</f>
        <v>0</v>
      </c>
      <c r="C44" t="b">
        <f>_xlfn.XOR(C39,C36)</f>
        <v>1</v>
      </c>
      <c r="D44" t="b">
        <f>_xlfn.XOR(D39,D36)</f>
        <v>0</v>
      </c>
      <c r="I44" t="b">
        <f>_xlfn.XOR($G$14,I39)</f>
        <v>0</v>
      </c>
      <c r="J44" t="b">
        <f>_xlfn.XOR($G$15,J39)</f>
        <v>0</v>
      </c>
      <c r="L44">
        <f t="shared" si="11"/>
        <v>-1</v>
      </c>
      <c r="N44" t="b">
        <f t="shared" si="12"/>
        <v>1</v>
      </c>
      <c r="P44" t="b">
        <f>_xlfn.XOR($N$14,P39)</f>
        <v>1</v>
      </c>
      <c r="Q44" t="b">
        <f>_xlfn.XOR($N$15,Q39)</f>
        <v>0</v>
      </c>
      <c r="R44" t="b">
        <f>_xlfn.XOR($N$16,R39)</f>
        <v>0</v>
      </c>
      <c r="W44" t="b">
        <f t="shared" si="13"/>
        <v>0</v>
      </c>
      <c r="X44" t="b">
        <f t="shared" si="13"/>
        <v>1</v>
      </c>
      <c r="Y44" t="b">
        <f t="shared" si="13"/>
        <v>1</v>
      </c>
    </row>
    <row r="45" spans="2:25" ht="15.75" customHeight="1">
      <c r="I45" t="b">
        <f>_xlfn.XOR($G$14,I40)</f>
        <v>0</v>
      </c>
      <c r="J45" t="b">
        <f>_xlfn.XOR($G$15,J40)</f>
        <v>0</v>
      </c>
      <c r="L45">
        <f t="shared" si="11"/>
        <v>-1</v>
      </c>
      <c r="N45" t="b">
        <f t="shared" si="12"/>
        <v>1</v>
      </c>
      <c r="P45" t="b">
        <f>_xlfn.XOR($N$14,P40)</f>
        <v>0</v>
      </c>
      <c r="Q45" t="b">
        <f>_xlfn.XOR($N$15,Q40)</f>
        <v>0</v>
      </c>
      <c r="R45" t="b">
        <f>_xlfn.XOR($N$16,R40)</f>
        <v>0</v>
      </c>
      <c r="W45" t="b">
        <f t="shared" si="13"/>
        <v>1</v>
      </c>
      <c r="X45" t="b">
        <f t="shared" si="13"/>
        <v>1</v>
      </c>
      <c r="Y45" t="b">
        <f t="shared" si="13"/>
        <v>1</v>
      </c>
    </row>
    <row r="46" spans="2:25" ht="15.75" customHeight="1">
      <c r="P46" t="b">
        <f>_xlfn.XOR($N$14,P41)</f>
        <v>0</v>
      </c>
      <c r="Q46" t="b">
        <f>_xlfn.XOR($N$15,Q41)</f>
        <v>0</v>
      </c>
      <c r="R46" t="b">
        <f>_xlfn.XOR($N$16,R41)</f>
        <v>0</v>
      </c>
      <c r="W46" t="b">
        <f t="shared" si="13"/>
        <v>1</v>
      </c>
      <c r="X46" t="b">
        <f t="shared" si="13"/>
        <v>1</v>
      </c>
      <c r="Y46" t="b">
        <f t="shared" si="13"/>
        <v>1</v>
      </c>
    </row>
    <row r="47" spans="2:25" ht="15.75" customHeight="1">
      <c r="L47" s="1" t="s">
        <v>143</v>
      </c>
    </row>
    <row r="48" spans="2:25" ht="15.75" customHeight="1">
      <c r="B48" s="1">
        <v>0</v>
      </c>
      <c r="C48" s="1">
        <v>1</v>
      </c>
      <c r="D48" s="1">
        <v>1</v>
      </c>
    </row>
    <row r="49" spans="2:25" ht="15.75" customHeight="1">
      <c r="B49" s="40" t="s">
        <v>25</v>
      </c>
      <c r="C49" s="38"/>
      <c r="D49" s="38"/>
      <c r="E49" s="1" t="s">
        <v>24</v>
      </c>
      <c r="G49" s="1" t="s">
        <v>127</v>
      </c>
      <c r="I49" s="40" t="s">
        <v>23</v>
      </c>
      <c r="J49" s="38"/>
      <c r="K49" s="38"/>
      <c r="L49" s="1" t="s">
        <v>22</v>
      </c>
      <c r="N49" s="1" t="s">
        <v>128</v>
      </c>
      <c r="P49" s="40" t="s">
        <v>36</v>
      </c>
      <c r="Q49" s="38"/>
      <c r="R49" s="38"/>
      <c r="S49" s="1" t="s">
        <v>35</v>
      </c>
      <c r="U49" s="1" t="s">
        <v>129</v>
      </c>
      <c r="V49" s="1" t="s">
        <v>130</v>
      </c>
      <c r="W49" s="1" t="s">
        <v>95</v>
      </c>
    </row>
    <row r="50" spans="2:25" ht="15.75" customHeight="1">
      <c r="B50" s="1">
        <v>0</v>
      </c>
      <c r="C50" s="1">
        <v>0</v>
      </c>
      <c r="D50" s="1">
        <v>0</v>
      </c>
      <c r="E50" s="1">
        <v>3</v>
      </c>
      <c r="G50" t="b">
        <f t="shared" ref="G50:G51" si="14">COUNTIF(B55:D55, TRUE)&gt;=E50</f>
        <v>0</v>
      </c>
      <c r="I50" s="1">
        <v>0</v>
      </c>
      <c r="J50" s="1">
        <v>0</v>
      </c>
      <c r="L50" s="1">
        <f>L38+L43</f>
        <v>1</v>
      </c>
      <c r="N50" t="b">
        <f t="shared" ref="N50:N52" si="15">COUNTIF(I55:J55, TRUE)&gt;=L50</f>
        <v>0</v>
      </c>
      <c r="P50" s="1">
        <v>0</v>
      </c>
      <c r="Q50" s="1">
        <v>0</v>
      </c>
      <c r="R50" s="1">
        <v>0</v>
      </c>
      <c r="S50" s="1">
        <v>3</v>
      </c>
      <c r="U50" t="b">
        <f t="shared" ref="U50:U53" si="16">COUNTIF(P55:R55, TRUE)&gt;=S50</f>
        <v>0</v>
      </c>
      <c r="V50" s="1">
        <v>1</v>
      </c>
      <c r="W50" t="b">
        <f>_xlfn.XOR(V50,U50)</f>
        <v>1</v>
      </c>
    </row>
    <row r="51" spans="2:25" ht="15.75" customHeight="1">
      <c r="B51" s="1">
        <v>0</v>
      </c>
      <c r="C51" s="1">
        <v>0</v>
      </c>
      <c r="D51" s="1">
        <v>0</v>
      </c>
      <c r="E51" s="1">
        <v>3</v>
      </c>
      <c r="G51" t="b">
        <f t="shared" si="14"/>
        <v>0</v>
      </c>
      <c r="I51" s="1">
        <v>0</v>
      </c>
      <c r="J51" s="1">
        <v>0</v>
      </c>
      <c r="L51" s="1">
        <v>2</v>
      </c>
      <c r="N51" t="b">
        <f t="shared" si="15"/>
        <v>0</v>
      </c>
      <c r="P51" s="1">
        <v>1</v>
      </c>
      <c r="Q51" s="1">
        <v>0</v>
      </c>
      <c r="R51" s="1">
        <v>0</v>
      </c>
      <c r="S51" s="1">
        <v>3</v>
      </c>
      <c r="U51" t="b">
        <f t="shared" si="16"/>
        <v>0</v>
      </c>
      <c r="V51" s="1">
        <v>1</v>
      </c>
      <c r="W51" t="b">
        <f>_xlfn.XOR(V51,U51)</f>
        <v>1</v>
      </c>
    </row>
    <row r="52" spans="2:25" ht="15.75" customHeight="1">
      <c r="I52" s="1">
        <v>0</v>
      </c>
      <c r="J52" s="1">
        <v>0</v>
      </c>
      <c r="L52" s="1">
        <v>2</v>
      </c>
      <c r="N52" t="b">
        <f t="shared" si="15"/>
        <v>0</v>
      </c>
      <c r="P52" s="1">
        <v>0</v>
      </c>
      <c r="Q52" s="1">
        <v>0</v>
      </c>
      <c r="R52" s="1">
        <v>0</v>
      </c>
      <c r="S52" s="1">
        <v>3</v>
      </c>
      <c r="U52" t="b">
        <f t="shared" si="16"/>
        <v>0</v>
      </c>
      <c r="V52" s="1">
        <v>1</v>
      </c>
      <c r="W52" t="b">
        <f>_xlfn.XOR(V52,U52)</f>
        <v>1</v>
      </c>
    </row>
    <row r="53" spans="2:25" ht="15.75" customHeight="1">
      <c r="P53" s="1">
        <v>0</v>
      </c>
      <c r="Q53" s="1">
        <v>0</v>
      </c>
      <c r="R53" s="1">
        <v>0</v>
      </c>
      <c r="S53" s="1">
        <v>3</v>
      </c>
      <c r="U53" t="b">
        <f t="shared" si="16"/>
        <v>0</v>
      </c>
      <c r="V53" s="1">
        <v>0</v>
      </c>
      <c r="W53" t="b">
        <f>_xlfn.XOR(V53,U53)</f>
        <v>0</v>
      </c>
    </row>
    <row r="54" spans="2:25" ht="15.75" customHeight="1">
      <c r="N54" s="1" t="s">
        <v>142</v>
      </c>
    </row>
    <row r="55" spans="2:25" ht="15.75" customHeight="1">
      <c r="B55" t="b">
        <f>_xlfn.XOR(B50,B48)</f>
        <v>0</v>
      </c>
      <c r="C55" t="b">
        <f>_xlfn.XOR(C50,C48)</f>
        <v>1</v>
      </c>
      <c r="D55" t="b">
        <f>_xlfn.XOR(D50,D48)</f>
        <v>1</v>
      </c>
      <c r="I55" t="b">
        <f>_xlfn.XOR($G$14,I50)</f>
        <v>0</v>
      </c>
      <c r="J55" t="b">
        <f>_xlfn.XOR($G$15,J50)</f>
        <v>0</v>
      </c>
      <c r="N55" t="b">
        <f t="shared" ref="N55:N57" si="17">OR(W55:W58)</f>
        <v>1</v>
      </c>
      <c r="P55" t="b">
        <f>_xlfn.XOR($N$14,P50)</f>
        <v>0</v>
      </c>
      <c r="Q55" t="b">
        <f>_xlfn.XOR($N$15,Q50)</f>
        <v>0</v>
      </c>
      <c r="R55" t="b">
        <f>_xlfn.XOR($N$16,R50)</f>
        <v>0</v>
      </c>
      <c r="V55" s="1" t="s">
        <v>138</v>
      </c>
      <c r="W55" t="b">
        <f t="shared" ref="W55:Y58" si="18">AND($W50,(_xlfn.XOR(P55,NOT($U50))))</f>
        <v>1</v>
      </c>
      <c r="X55" t="b">
        <f t="shared" si="18"/>
        <v>1</v>
      </c>
      <c r="Y55" t="b">
        <f t="shared" si="18"/>
        <v>1</v>
      </c>
    </row>
    <row r="56" spans="2:25" ht="15.75" customHeight="1">
      <c r="B56" t="b">
        <f>_xlfn.XOR(B51,B48)</f>
        <v>0</v>
      </c>
      <c r="C56" t="b">
        <f>_xlfn.XOR(C51,C48)</f>
        <v>1</v>
      </c>
      <c r="D56" t="b">
        <f>_xlfn.XOR(D51,D48)</f>
        <v>1</v>
      </c>
      <c r="I56" t="b">
        <f>_xlfn.XOR($G$14,I51)</f>
        <v>0</v>
      </c>
      <c r="J56" t="b">
        <f>_xlfn.XOR($G$15,J51)</f>
        <v>0</v>
      </c>
      <c r="N56" t="b">
        <f t="shared" si="17"/>
        <v>1</v>
      </c>
      <c r="P56" t="b">
        <f>_xlfn.XOR($N$14,P51)</f>
        <v>1</v>
      </c>
      <c r="Q56" t="b">
        <f>_xlfn.XOR($N$15,Q51)</f>
        <v>0</v>
      </c>
      <c r="R56" t="b">
        <f>_xlfn.XOR($N$16,R51)</f>
        <v>0</v>
      </c>
      <c r="W56" t="b">
        <f t="shared" si="18"/>
        <v>0</v>
      </c>
      <c r="X56" t="b">
        <f t="shared" si="18"/>
        <v>1</v>
      </c>
      <c r="Y56" t="b">
        <f t="shared" si="18"/>
        <v>1</v>
      </c>
    </row>
    <row r="57" spans="2:25" ht="15.75" customHeight="1">
      <c r="I57" t="b">
        <f>_xlfn.XOR($G$14,I52)</f>
        <v>0</v>
      </c>
      <c r="J57" t="b">
        <f>_xlfn.XOR($G$15,J52)</f>
        <v>0</v>
      </c>
      <c r="N57" t="b">
        <f t="shared" si="17"/>
        <v>1</v>
      </c>
      <c r="P57" t="b">
        <f>_xlfn.XOR($N$14,P52)</f>
        <v>0</v>
      </c>
      <c r="Q57" t="b">
        <f>_xlfn.XOR($N$15,Q52)</f>
        <v>0</v>
      </c>
      <c r="R57" t="b">
        <f>_xlfn.XOR($N$16,R52)</f>
        <v>0</v>
      </c>
      <c r="W57" t="b">
        <f t="shared" si="18"/>
        <v>1</v>
      </c>
      <c r="X57" t="b">
        <f t="shared" si="18"/>
        <v>1</v>
      </c>
      <c r="Y57" t="b">
        <f t="shared" si="18"/>
        <v>1</v>
      </c>
    </row>
    <row r="58" spans="2:25" ht="15.75" customHeight="1">
      <c r="P58" t="b">
        <f>_xlfn.XOR($N$14,P53)</f>
        <v>0</v>
      </c>
      <c r="Q58" t="b">
        <f>_xlfn.XOR($N$15,Q53)</f>
        <v>0</v>
      </c>
      <c r="R58" t="b">
        <f>_xlfn.XOR($N$16,R53)</f>
        <v>0</v>
      </c>
      <c r="W58" t="b">
        <f t="shared" si="18"/>
        <v>0</v>
      </c>
      <c r="X58" t="b">
        <f t="shared" si="18"/>
        <v>0</v>
      </c>
      <c r="Y58" t="b">
        <f t="shared" si="18"/>
        <v>0</v>
      </c>
    </row>
    <row r="59" spans="2:25" ht="15.75" customHeight="1">
      <c r="H59" s="1" t="s">
        <v>144</v>
      </c>
      <c r="I59" t="b">
        <f t="shared" ref="I59:J61" si="19">AND($N55,(_xlfn.XOR(I55,NOT($N50))))</f>
        <v>1</v>
      </c>
      <c r="J59" t="b">
        <f t="shared" si="19"/>
        <v>1</v>
      </c>
    </row>
    <row r="60" spans="2:25" ht="15.75" customHeight="1">
      <c r="I60" t="b">
        <f t="shared" si="19"/>
        <v>1</v>
      </c>
      <c r="J60" t="b">
        <f t="shared" si="19"/>
        <v>1</v>
      </c>
    </row>
    <row r="61" spans="2:25" ht="15.75" customHeight="1">
      <c r="I61" t="b">
        <f t="shared" si="19"/>
        <v>1</v>
      </c>
      <c r="J61" t="b">
        <f t="shared" si="19"/>
        <v>1</v>
      </c>
      <c r="L61" s="1" t="s">
        <v>145</v>
      </c>
    </row>
    <row r="62" spans="2:25" ht="15.75" customHeight="1">
      <c r="B62" s="1">
        <v>1</v>
      </c>
      <c r="C62" s="1">
        <v>0</v>
      </c>
      <c r="D62" s="1">
        <v>0</v>
      </c>
    </row>
    <row r="63" spans="2:25" ht="15.75" customHeight="1">
      <c r="B63" s="40" t="s">
        <v>25</v>
      </c>
      <c r="C63" s="38"/>
      <c r="D63" s="38"/>
      <c r="E63" s="1" t="s">
        <v>24</v>
      </c>
      <c r="G63" s="1" t="s">
        <v>127</v>
      </c>
      <c r="I63" s="40" t="s">
        <v>23</v>
      </c>
      <c r="J63" s="38"/>
      <c r="K63" s="38"/>
      <c r="L63" s="1" t="s">
        <v>22</v>
      </c>
      <c r="N63" s="1" t="s">
        <v>128</v>
      </c>
      <c r="P63" s="40" t="s">
        <v>36</v>
      </c>
      <c r="Q63" s="38"/>
      <c r="R63" s="38"/>
      <c r="S63" s="1" t="s">
        <v>35</v>
      </c>
      <c r="U63" s="1" t="s">
        <v>129</v>
      </c>
      <c r="V63" s="1" t="s">
        <v>130</v>
      </c>
      <c r="W63" s="1" t="s">
        <v>95</v>
      </c>
    </row>
    <row r="64" spans="2:25" ht="15.75" customHeight="1">
      <c r="B64" s="1">
        <v>0</v>
      </c>
      <c r="C64" s="1">
        <v>0</v>
      </c>
      <c r="D64" s="1">
        <v>0</v>
      </c>
      <c r="E64" s="1">
        <v>3</v>
      </c>
      <c r="G64" t="b">
        <f t="shared" ref="G64:G65" si="20">COUNTIF(B69:D69, TRUE)&gt;=E64</f>
        <v>0</v>
      </c>
      <c r="I64" s="1">
        <v>1</v>
      </c>
      <c r="J64" s="1">
        <v>0</v>
      </c>
      <c r="L64" s="1">
        <v>1</v>
      </c>
      <c r="N64" t="b">
        <f t="shared" ref="N64:N66" si="21">COUNTIF(I69:J69, TRUE)&gt;=L64</f>
        <v>1</v>
      </c>
      <c r="P64" s="1">
        <v>0</v>
      </c>
      <c r="Q64" s="1">
        <v>0</v>
      </c>
      <c r="R64" s="1">
        <v>0</v>
      </c>
      <c r="S64" s="1">
        <v>3</v>
      </c>
      <c r="U64" t="b">
        <f t="shared" ref="U64:U67" si="22">COUNTIF(P69:R69, TRUE)&gt;=S64</f>
        <v>0</v>
      </c>
      <c r="V64" s="1">
        <v>0</v>
      </c>
      <c r="W64" t="b">
        <f>_xlfn.XOR(V64,U64)</f>
        <v>0</v>
      </c>
    </row>
    <row r="65" spans="2:25" ht="15.75" customHeight="1">
      <c r="B65" s="1">
        <v>0</v>
      </c>
      <c r="C65" s="1">
        <v>0</v>
      </c>
      <c r="D65" s="1">
        <v>0</v>
      </c>
      <c r="E65" s="1">
        <v>3</v>
      </c>
      <c r="G65" t="b">
        <f t="shared" si="20"/>
        <v>0</v>
      </c>
      <c r="I65" s="1">
        <v>1</v>
      </c>
      <c r="J65" s="1">
        <v>0</v>
      </c>
      <c r="L65" s="1">
        <v>2</v>
      </c>
      <c r="N65" t="b">
        <f t="shared" si="21"/>
        <v>0</v>
      </c>
      <c r="P65" s="1">
        <v>1</v>
      </c>
      <c r="Q65" s="1">
        <v>0</v>
      </c>
      <c r="R65" s="1">
        <v>0</v>
      </c>
      <c r="S65" s="1">
        <v>3</v>
      </c>
      <c r="U65" t="b">
        <f t="shared" si="22"/>
        <v>0</v>
      </c>
      <c r="V65" s="1">
        <v>1</v>
      </c>
      <c r="W65" t="b">
        <f>_xlfn.XOR(V65,U65)</f>
        <v>1</v>
      </c>
    </row>
    <row r="66" spans="2:25" ht="13">
      <c r="I66" s="1">
        <v>1</v>
      </c>
      <c r="J66" s="1">
        <v>0</v>
      </c>
      <c r="L66" s="1">
        <v>2</v>
      </c>
      <c r="N66" t="b">
        <f t="shared" si="21"/>
        <v>0</v>
      </c>
      <c r="P66" s="1">
        <v>0</v>
      </c>
      <c r="Q66" s="1">
        <v>0</v>
      </c>
      <c r="R66" s="1">
        <v>0</v>
      </c>
      <c r="S66" s="1">
        <v>3</v>
      </c>
      <c r="U66" t="b">
        <f t="shared" si="22"/>
        <v>0</v>
      </c>
      <c r="V66" s="1">
        <v>1</v>
      </c>
      <c r="W66" t="b">
        <f>_xlfn.XOR(V66,U66)</f>
        <v>1</v>
      </c>
    </row>
    <row r="67" spans="2:25" ht="13">
      <c r="P67" s="1">
        <v>0</v>
      </c>
      <c r="Q67" s="1">
        <v>0</v>
      </c>
      <c r="R67" s="1">
        <v>0</v>
      </c>
      <c r="S67" s="1">
        <v>3</v>
      </c>
      <c r="U67" t="b">
        <f t="shared" si="22"/>
        <v>0</v>
      </c>
      <c r="V67" s="1">
        <v>0</v>
      </c>
      <c r="W67" t="b">
        <f>_xlfn.XOR(V67,U67)</f>
        <v>0</v>
      </c>
    </row>
    <row r="68" spans="2:25" ht="13">
      <c r="E68" s="1" t="s">
        <v>146</v>
      </c>
      <c r="G68" s="1" t="s">
        <v>55</v>
      </c>
      <c r="N68" s="1" t="s">
        <v>142</v>
      </c>
    </row>
    <row r="69" spans="2:25" ht="13">
      <c r="B69" t="b">
        <f>_xlfn.XOR(B64,B62)</f>
        <v>1</v>
      </c>
      <c r="C69" t="b">
        <f>_xlfn.XOR(C64,C62)</f>
        <v>0</v>
      </c>
      <c r="D69" t="b">
        <f>_xlfn.XOR(D64,D62)</f>
        <v>0</v>
      </c>
      <c r="E69">
        <f t="shared" ref="E69:E70" si="23">IF(G69,IF(G64,1,-1),0)</f>
        <v>-1</v>
      </c>
      <c r="G69" s="1" t="b">
        <f>OR(I73:I75)</f>
        <v>1</v>
      </c>
      <c r="I69" t="b">
        <f>_xlfn.XOR($G$14,I64)</f>
        <v>1</v>
      </c>
      <c r="J69" t="b">
        <f>_xlfn.XOR($G$15,J64)</f>
        <v>0</v>
      </c>
      <c r="N69" t="b">
        <f t="shared" ref="N69:N71" si="24">OR(W69:W72)</f>
        <v>1</v>
      </c>
      <c r="P69" t="b">
        <f>_xlfn.XOR($N$14,P64)</f>
        <v>0</v>
      </c>
      <c r="Q69" t="b">
        <f>_xlfn.XOR($N$15,Q64)</f>
        <v>0</v>
      </c>
      <c r="R69" t="b">
        <f>_xlfn.XOR($N$16,R64)</f>
        <v>0</v>
      </c>
      <c r="V69" s="1" t="s">
        <v>138</v>
      </c>
      <c r="W69" t="b">
        <f t="shared" ref="W69:Y72" si="25">AND($W64,(_xlfn.XOR(P69,NOT($U64))))</f>
        <v>0</v>
      </c>
      <c r="X69" t="b">
        <f t="shared" si="25"/>
        <v>0</v>
      </c>
      <c r="Y69" t="b">
        <f t="shared" si="25"/>
        <v>0</v>
      </c>
    </row>
    <row r="70" spans="2:25" ht="13">
      <c r="B70" t="b">
        <f>_xlfn.XOR(B65,B62)</f>
        <v>1</v>
      </c>
      <c r="C70" t="b">
        <f>_xlfn.XOR(C65,C62)</f>
        <v>0</v>
      </c>
      <c r="D70" t="b">
        <f>_xlfn.XOR(D65,D62)</f>
        <v>0</v>
      </c>
      <c r="E70">
        <f t="shared" si="23"/>
        <v>-1</v>
      </c>
      <c r="G70" s="1" t="b">
        <f>OR(J73:J75)</f>
        <v>1</v>
      </c>
      <c r="I70" t="b">
        <f>_xlfn.XOR($G$14,I65)</f>
        <v>1</v>
      </c>
      <c r="J70" t="b">
        <f>_xlfn.XOR($G$15,J65)</f>
        <v>0</v>
      </c>
      <c r="N70" t="b">
        <f t="shared" si="24"/>
        <v>1</v>
      </c>
      <c r="P70" t="b">
        <f>_xlfn.XOR($N$14,P65)</f>
        <v>1</v>
      </c>
      <c r="Q70" t="b">
        <f>_xlfn.XOR($N$15,Q65)</f>
        <v>0</v>
      </c>
      <c r="R70" t="b">
        <f>_xlfn.XOR($N$16,R65)</f>
        <v>0</v>
      </c>
      <c r="W70" t="b">
        <f t="shared" si="25"/>
        <v>0</v>
      </c>
      <c r="X70" t="b">
        <f t="shared" si="25"/>
        <v>1</v>
      </c>
      <c r="Y70" t="b">
        <f t="shared" si="25"/>
        <v>1</v>
      </c>
    </row>
    <row r="71" spans="2:25" ht="13">
      <c r="I71" t="b">
        <f>_xlfn.XOR($G$14,I66)</f>
        <v>1</v>
      </c>
      <c r="J71" t="b">
        <f>_xlfn.XOR($G$15,J66)</f>
        <v>0</v>
      </c>
      <c r="N71" t="b">
        <f t="shared" si="24"/>
        <v>1</v>
      </c>
      <c r="P71" t="b">
        <f>_xlfn.XOR($N$14,P66)</f>
        <v>0</v>
      </c>
      <c r="Q71" t="b">
        <f>_xlfn.XOR($N$15,Q66)</f>
        <v>0</v>
      </c>
      <c r="R71" t="b">
        <f>_xlfn.XOR($N$16,R66)</f>
        <v>0</v>
      </c>
      <c r="W71" t="b">
        <f t="shared" si="25"/>
        <v>1</v>
      </c>
      <c r="X71" t="b">
        <f t="shared" si="25"/>
        <v>1</v>
      </c>
      <c r="Y71" t="b">
        <f t="shared" si="25"/>
        <v>1</v>
      </c>
    </row>
    <row r="72" spans="2:25" ht="13">
      <c r="P72" t="b">
        <f>_xlfn.XOR($N$14,P67)</f>
        <v>0</v>
      </c>
      <c r="Q72" t="b">
        <f>_xlfn.XOR($N$15,Q67)</f>
        <v>0</v>
      </c>
      <c r="R72" t="b">
        <f>_xlfn.XOR($N$16,R67)</f>
        <v>0</v>
      </c>
      <c r="W72" t="b">
        <f t="shared" si="25"/>
        <v>0</v>
      </c>
      <c r="X72" t="b">
        <f t="shared" si="25"/>
        <v>0</v>
      </c>
      <c r="Y72" t="b">
        <f t="shared" si="25"/>
        <v>0</v>
      </c>
    </row>
    <row r="73" spans="2:25" ht="13">
      <c r="E73" s="1" t="s">
        <v>147</v>
      </c>
      <c r="H73" s="1" t="s">
        <v>144</v>
      </c>
      <c r="I73" t="b">
        <f t="shared" ref="I73:J75" si="26">AND($N69,(_xlfn.XOR(I69,NOT($N64))))</f>
        <v>1</v>
      </c>
      <c r="J73" t="b">
        <f t="shared" si="26"/>
        <v>0</v>
      </c>
    </row>
    <row r="74" spans="2:25" ht="13">
      <c r="I74" t="b">
        <f t="shared" si="26"/>
        <v>0</v>
      </c>
      <c r="J74" t="b">
        <f t="shared" si="26"/>
        <v>1</v>
      </c>
    </row>
    <row r="75" spans="2:25" ht="13">
      <c r="I75" t="b">
        <f t="shared" si="26"/>
        <v>0</v>
      </c>
      <c r="J75" t="b">
        <f t="shared" si="26"/>
        <v>1</v>
      </c>
    </row>
    <row r="77" spans="2:25" ht="13">
      <c r="B77" s="1">
        <v>1</v>
      </c>
      <c r="C77" s="1">
        <v>0</v>
      </c>
      <c r="D77" s="1">
        <v>1</v>
      </c>
    </row>
    <row r="78" spans="2:25" ht="13">
      <c r="B78" s="40" t="s">
        <v>25</v>
      </c>
      <c r="C78" s="38"/>
      <c r="D78" s="38"/>
      <c r="E78" s="1" t="s">
        <v>24</v>
      </c>
      <c r="G78" s="1" t="s">
        <v>127</v>
      </c>
      <c r="I78" s="40" t="s">
        <v>23</v>
      </c>
      <c r="J78" s="38"/>
      <c r="K78" s="38"/>
      <c r="L78" s="1" t="s">
        <v>22</v>
      </c>
      <c r="N78" s="1" t="s">
        <v>128</v>
      </c>
      <c r="P78" s="40" t="s">
        <v>36</v>
      </c>
      <c r="Q78" s="38"/>
      <c r="R78" s="38"/>
      <c r="S78" s="1" t="s">
        <v>35</v>
      </c>
      <c r="U78" s="1" t="s">
        <v>129</v>
      </c>
      <c r="V78" s="1" t="s">
        <v>130</v>
      </c>
      <c r="W78" s="1" t="s">
        <v>95</v>
      </c>
    </row>
    <row r="79" spans="2:25" ht="13">
      <c r="B79" s="1">
        <v>0</v>
      </c>
      <c r="C79" s="1">
        <v>0</v>
      </c>
      <c r="D79" s="1">
        <v>0</v>
      </c>
      <c r="E79" s="1">
        <v>2</v>
      </c>
      <c r="G79" t="b">
        <f t="shared" ref="G79:G80" si="27">COUNTIF(B84:D84, TRUE)&gt;=E79</f>
        <v>1</v>
      </c>
      <c r="I79" s="1">
        <v>1</v>
      </c>
      <c r="J79" s="1">
        <v>0</v>
      </c>
      <c r="L79" s="1">
        <v>1</v>
      </c>
      <c r="N79" t="b">
        <f t="shared" ref="N79:N81" si="28">COUNTIF(I84:J84, TRUE)&gt;=L79</f>
        <v>1</v>
      </c>
      <c r="P79" s="1">
        <v>0</v>
      </c>
      <c r="Q79" s="1">
        <v>0</v>
      </c>
      <c r="R79" s="1">
        <v>0</v>
      </c>
      <c r="S79" s="1">
        <v>3</v>
      </c>
      <c r="U79" t="b">
        <f t="shared" ref="U79:U82" si="29">COUNTIF(P84:R84, TRUE)&gt;=S79</f>
        <v>0</v>
      </c>
      <c r="V79" s="1">
        <v>1</v>
      </c>
      <c r="W79" t="b">
        <f>_xlfn.XOR(V79,U79)</f>
        <v>1</v>
      </c>
    </row>
    <row r="80" spans="2:25" ht="13">
      <c r="B80" s="1">
        <v>0</v>
      </c>
      <c r="C80" s="1">
        <v>0</v>
      </c>
      <c r="D80" s="1">
        <v>0</v>
      </c>
      <c r="E80" s="1">
        <v>3</v>
      </c>
      <c r="G80" t="b">
        <f t="shared" si="27"/>
        <v>0</v>
      </c>
      <c r="I80" s="1">
        <v>1</v>
      </c>
      <c r="J80" s="1">
        <v>0</v>
      </c>
      <c r="L80" s="1">
        <v>2</v>
      </c>
      <c r="N80" t="b">
        <f t="shared" si="28"/>
        <v>0</v>
      </c>
      <c r="P80" s="1">
        <v>1</v>
      </c>
      <c r="Q80" s="1">
        <v>0</v>
      </c>
      <c r="R80" s="1">
        <v>0</v>
      </c>
      <c r="S80" s="1">
        <v>3</v>
      </c>
      <c r="U80" t="b">
        <f t="shared" si="29"/>
        <v>0</v>
      </c>
      <c r="V80" s="1">
        <v>0</v>
      </c>
      <c r="W80" t="b">
        <f>_xlfn.XOR(V80,U80)</f>
        <v>0</v>
      </c>
    </row>
    <row r="81" spans="2:25" ht="13">
      <c r="I81" s="1">
        <v>1</v>
      </c>
      <c r="J81" s="1">
        <v>0</v>
      </c>
      <c r="L81" s="1">
        <v>2</v>
      </c>
      <c r="N81" t="b">
        <f t="shared" si="28"/>
        <v>0</v>
      </c>
      <c r="P81" s="1">
        <v>0</v>
      </c>
      <c r="Q81" s="1">
        <v>0</v>
      </c>
      <c r="R81" s="1">
        <v>0</v>
      </c>
      <c r="S81" s="1">
        <v>3</v>
      </c>
      <c r="U81" t="b">
        <f t="shared" si="29"/>
        <v>0</v>
      </c>
      <c r="V81" s="1">
        <v>0</v>
      </c>
      <c r="W81" t="b">
        <f>_xlfn.XOR(V81,U81)</f>
        <v>0</v>
      </c>
    </row>
    <row r="82" spans="2:25" ht="13">
      <c r="P82" s="1">
        <v>0</v>
      </c>
      <c r="Q82" s="1">
        <v>0</v>
      </c>
      <c r="R82" s="1">
        <v>0</v>
      </c>
      <c r="S82" s="1">
        <v>3</v>
      </c>
      <c r="U82" t="b">
        <f t="shared" si="29"/>
        <v>0</v>
      </c>
      <c r="V82" s="1">
        <v>0</v>
      </c>
      <c r="W82" t="b">
        <f>_xlfn.XOR(V82,U82)</f>
        <v>0</v>
      </c>
    </row>
    <row r="83" spans="2:25" ht="13">
      <c r="G83" s="1" t="s">
        <v>55</v>
      </c>
      <c r="N83" s="1" t="s">
        <v>142</v>
      </c>
    </row>
    <row r="84" spans="2:25" ht="13">
      <c r="B84" t="b">
        <f>_xlfn.XOR(B79,B77)</f>
        <v>1</v>
      </c>
      <c r="C84" t="b">
        <f>_xlfn.XOR(C79,C77)</f>
        <v>0</v>
      </c>
      <c r="D84" t="b">
        <f>_xlfn.XOR(D79,D77)</f>
        <v>1</v>
      </c>
      <c r="G84" s="1" t="b">
        <f>OR(I88:I90)</f>
        <v>1</v>
      </c>
      <c r="I84" t="b">
        <f>_xlfn.XOR($G$14,I79)</f>
        <v>1</v>
      </c>
      <c r="J84" t="b">
        <f>_xlfn.XOR($G$15,J79)</f>
        <v>0</v>
      </c>
      <c r="N84" t="b">
        <f t="shared" ref="N84:N86" si="30">OR(W84:W87)</f>
        <v>1</v>
      </c>
      <c r="P84" t="b">
        <f>_xlfn.XOR($N$14,P79)</f>
        <v>0</v>
      </c>
      <c r="Q84" t="b">
        <f>_xlfn.XOR($N$15,Q79)</f>
        <v>0</v>
      </c>
      <c r="R84" t="b">
        <f>_xlfn.XOR($N$16,R79)</f>
        <v>0</v>
      </c>
      <c r="V84" s="1" t="s">
        <v>138</v>
      </c>
      <c r="W84" t="b">
        <f t="shared" ref="W84:Y87" si="31">AND($W79,(_xlfn.XOR(P84,NOT($U79))))</f>
        <v>1</v>
      </c>
      <c r="X84" t="b">
        <f t="shared" si="31"/>
        <v>1</v>
      </c>
      <c r="Y84" t="b">
        <f t="shared" si="31"/>
        <v>1</v>
      </c>
    </row>
    <row r="85" spans="2:25" ht="13">
      <c r="B85" t="b">
        <f>_xlfn.XOR(B80,B77)</f>
        <v>1</v>
      </c>
      <c r="C85" t="b">
        <f>_xlfn.XOR(C80,C77)</f>
        <v>0</v>
      </c>
      <c r="D85" t="b">
        <f>_xlfn.XOR(D80,D77)</f>
        <v>1</v>
      </c>
      <c r="G85" s="1" t="b">
        <f>OR(J88:J90)</f>
        <v>0</v>
      </c>
      <c r="I85" t="b">
        <f>_xlfn.XOR($G$14,I80)</f>
        <v>1</v>
      </c>
      <c r="J85" t="b">
        <f>_xlfn.XOR($G$15,J80)</f>
        <v>0</v>
      </c>
      <c r="N85" t="b">
        <f t="shared" si="30"/>
        <v>0</v>
      </c>
      <c r="P85" t="b">
        <f>_xlfn.XOR($N$14,P80)</f>
        <v>1</v>
      </c>
      <c r="Q85" t="b">
        <f>_xlfn.XOR($N$15,Q80)</f>
        <v>0</v>
      </c>
      <c r="R85" t="b">
        <f>_xlfn.XOR($N$16,R80)</f>
        <v>0</v>
      </c>
      <c r="W85" t="b">
        <f t="shared" si="31"/>
        <v>0</v>
      </c>
      <c r="X85" t="b">
        <f t="shared" si="31"/>
        <v>0</v>
      </c>
      <c r="Y85" t="b">
        <f t="shared" si="31"/>
        <v>0</v>
      </c>
    </row>
    <row r="86" spans="2:25" ht="13">
      <c r="I86" t="b">
        <f>_xlfn.XOR($G$14,I81)</f>
        <v>1</v>
      </c>
      <c r="J86" t="b">
        <f>_xlfn.XOR($G$15,J81)</f>
        <v>0</v>
      </c>
      <c r="N86" t="b">
        <f t="shared" si="30"/>
        <v>0</v>
      </c>
      <c r="P86" t="b">
        <f>_xlfn.XOR($N$14,P81)</f>
        <v>0</v>
      </c>
      <c r="Q86" t="b">
        <f>_xlfn.XOR($N$15,Q81)</f>
        <v>0</v>
      </c>
      <c r="R86" t="b">
        <f>_xlfn.XOR($N$16,R81)</f>
        <v>0</v>
      </c>
      <c r="W86" t="b">
        <f t="shared" si="31"/>
        <v>0</v>
      </c>
      <c r="X86" t="b">
        <f t="shared" si="31"/>
        <v>0</v>
      </c>
      <c r="Y86" t="b">
        <f t="shared" si="31"/>
        <v>0</v>
      </c>
    </row>
    <row r="87" spans="2:25" ht="13">
      <c r="B87" s="1" t="s">
        <v>149</v>
      </c>
      <c r="P87" t="b">
        <f>_xlfn.XOR($N$14,P82)</f>
        <v>0</v>
      </c>
      <c r="Q87" t="b">
        <f>_xlfn.XOR($N$15,Q82)</f>
        <v>0</v>
      </c>
      <c r="R87" t="b">
        <f>_xlfn.XOR($N$16,R82)</f>
        <v>0</v>
      </c>
      <c r="W87" t="b">
        <f t="shared" si="31"/>
        <v>0</v>
      </c>
      <c r="X87" t="b">
        <f t="shared" si="31"/>
        <v>0</v>
      </c>
      <c r="Y87" t="b">
        <f t="shared" si="31"/>
        <v>0</v>
      </c>
    </row>
    <row r="88" spans="2:25" ht="13">
      <c r="B88" t="b">
        <f t="shared" ref="B88:D89" si="32">AND($G84,(_xlfn.XOR(B84,NOT($G79))))</f>
        <v>1</v>
      </c>
      <c r="C88" t="b">
        <f t="shared" si="32"/>
        <v>0</v>
      </c>
      <c r="D88" t="b">
        <f t="shared" si="32"/>
        <v>1</v>
      </c>
      <c r="H88" s="1" t="s">
        <v>144</v>
      </c>
      <c r="I88" t="b">
        <f t="shared" ref="I88:J90" si="33">AND($N84,(_xlfn.XOR(I84,NOT($N79))))</f>
        <v>1</v>
      </c>
      <c r="J88" t="b">
        <f t="shared" si="33"/>
        <v>0</v>
      </c>
    </row>
    <row r="89" spans="2:25" ht="13">
      <c r="B89" t="b">
        <f t="shared" si="32"/>
        <v>0</v>
      </c>
      <c r="C89" t="b">
        <f t="shared" si="32"/>
        <v>0</v>
      </c>
      <c r="D89" t="b">
        <f t="shared" si="32"/>
        <v>0</v>
      </c>
      <c r="I89" t="b">
        <f t="shared" si="33"/>
        <v>0</v>
      </c>
      <c r="J89" t="b">
        <f t="shared" si="33"/>
        <v>0</v>
      </c>
    </row>
    <row r="90" spans="2:25" ht="13">
      <c r="E90" s="1" t="s">
        <v>150</v>
      </c>
      <c r="I90" t="b">
        <f t="shared" si="33"/>
        <v>0</v>
      </c>
      <c r="J90" t="b">
        <f t="shared" si="33"/>
        <v>0</v>
      </c>
    </row>
    <row r="92" spans="2:25" ht="13">
      <c r="B92" s="1">
        <v>1</v>
      </c>
      <c r="C92" s="1">
        <v>1</v>
      </c>
      <c r="D92" s="1">
        <v>0</v>
      </c>
    </row>
    <row r="93" spans="2:25" ht="13">
      <c r="B93" s="40" t="s">
        <v>25</v>
      </c>
      <c r="C93" s="38"/>
      <c r="D93" s="38"/>
      <c r="E93" s="1" t="s">
        <v>24</v>
      </c>
      <c r="G93" s="1" t="s">
        <v>127</v>
      </c>
      <c r="I93" s="40" t="s">
        <v>23</v>
      </c>
      <c r="J93" s="38"/>
      <c r="K93" s="38"/>
      <c r="L93" s="1" t="s">
        <v>22</v>
      </c>
      <c r="N93" s="1" t="s">
        <v>128</v>
      </c>
      <c r="P93" s="40" t="s">
        <v>36</v>
      </c>
      <c r="Q93" s="38"/>
      <c r="R93" s="38"/>
      <c r="S93" s="1" t="s">
        <v>35</v>
      </c>
      <c r="U93" s="1" t="s">
        <v>129</v>
      </c>
      <c r="V93" s="1" t="s">
        <v>130</v>
      </c>
      <c r="W93" s="1" t="s">
        <v>95</v>
      </c>
    </row>
    <row r="94" spans="2:25" ht="13">
      <c r="B94" s="1">
        <v>1</v>
      </c>
      <c r="C94" s="1">
        <v>0</v>
      </c>
      <c r="D94" s="1">
        <v>0</v>
      </c>
      <c r="E94" s="1">
        <v>2</v>
      </c>
      <c r="G94" t="b">
        <f t="shared" ref="G94:G95" si="34">COUNTIF(B99:D99, TRUE)&gt;=E94</f>
        <v>0</v>
      </c>
      <c r="I94" s="1">
        <v>1</v>
      </c>
      <c r="J94" s="1">
        <v>0</v>
      </c>
      <c r="L94" s="1">
        <v>1</v>
      </c>
      <c r="N94" t="b">
        <f t="shared" ref="N94:N96" si="35">COUNTIF(I99:J99, TRUE)&gt;=L94</f>
        <v>1</v>
      </c>
      <c r="P94" s="1">
        <v>0</v>
      </c>
      <c r="Q94" s="1">
        <v>0</v>
      </c>
      <c r="R94" s="1">
        <v>0</v>
      </c>
      <c r="S94" s="1">
        <v>3</v>
      </c>
      <c r="U94" t="b">
        <f t="shared" ref="U94:U97" si="36">COUNTIF(P99:R99, TRUE)&gt;=S94</f>
        <v>0</v>
      </c>
      <c r="V94" s="1">
        <v>1</v>
      </c>
      <c r="W94" t="b">
        <f>_xlfn.XOR(V94,U94)</f>
        <v>1</v>
      </c>
    </row>
    <row r="95" spans="2:25" ht="13">
      <c r="B95" s="1">
        <v>0</v>
      </c>
      <c r="C95" s="1">
        <v>0</v>
      </c>
      <c r="D95" s="1">
        <v>0</v>
      </c>
      <c r="E95" s="1">
        <v>3</v>
      </c>
      <c r="G95" t="b">
        <f t="shared" si="34"/>
        <v>0</v>
      </c>
      <c r="I95" s="1">
        <v>1</v>
      </c>
      <c r="J95" s="1">
        <v>0</v>
      </c>
      <c r="L95" s="1">
        <v>2</v>
      </c>
      <c r="N95" t="b">
        <f t="shared" si="35"/>
        <v>0</v>
      </c>
      <c r="P95" s="1">
        <v>1</v>
      </c>
      <c r="Q95" s="1">
        <v>0</v>
      </c>
      <c r="R95" s="1">
        <v>0</v>
      </c>
      <c r="S95" s="1">
        <v>3</v>
      </c>
      <c r="U95" t="b">
        <f t="shared" si="36"/>
        <v>0</v>
      </c>
      <c r="V95" s="1">
        <v>1</v>
      </c>
      <c r="W95" t="b">
        <f>_xlfn.XOR(V95,U95)</f>
        <v>1</v>
      </c>
    </row>
    <row r="96" spans="2:25" ht="13">
      <c r="I96" s="1">
        <v>1</v>
      </c>
      <c r="J96" s="1">
        <v>0</v>
      </c>
      <c r="L96" s="1">
        <v>2</v>
      </c>
      <c r="N96" t="b">
        <f t="shared" si="35"/>
        <v>0</v>
      </c>
      <c r="P96" s="1">
        <v>0</v>
      </c>
      <c r="Q96" s="1">
        <v>0</v>
      </c>
      <c r="R96" s="1">
        <v>0</v>
      </c>
      <c r="S96" s="1">
        <v>3</v>
      </c>
      <c r="U96" t="b">
        <f t="shared" si="36"/>
        <v>0</v>
      </c>
      <c r="V96" s="1">
        <v>1</v>
      </c>
      <c r="W96" t="b">
        <f>_xlfn.XOR(V96,U96)</f>
        <v>1</v>
      </c>
    </row>
    <row r="97" spans="2:25" ht="13">
      <c r="P97" s="1">
        <v>0</v>
      </c>
      <c r="Q97" s="1">
        <v>0</v>
      </c>
      <c r="R97" s="1">
        <v>0</v>
      </c>
      <c r="S97" s="1">
        <v>3</v>
      </c>
      <c r="U97" t="b">
        <f t="shared" si="36"/>
        <v>0</v>
      </c>
      <c r="V97" s="1">
        <v>1</v>
      </c>
      <c r="W97" t="b">
        <f>_xlfn.XOR(V97,U97)</f>
        <v>1</v>
      </c>
    </row>
    <row r="98" spans="2:25" ht="13">
      <c r="G98" s="1" t="s">
        <v>55</v>
      </c>
      <c r="N98" s="1" t="s">
        <v>142</v>
      </c>
      <c r="U98" s="1" t="s">
        <v>133</v>
      </c>
      <c r="W98" s="1" t="s">
        <v>138</v>
      </c>
    </row>
    <row r="99" spans="2:25" ht="13">
      <c r="B99" t="b">
        <f>_xlfn.XOR(B94,B92)</f>
        <v>0</v>
      </c>
      <c r="C99" t="b">
        <f>_xlfn.XOR(C94,C92)</f>
        <v>1</v>
      </c>
      <c r="D99" t="b">
        <f>_xlfn.XOR(D94,D92)</f>
        <v>0</v>
      </c>
      <c r="G99" s="1" t="b">
        <f>OR(I103:I105)</f>
        <v>1</v>
      </c>
      <c r="I99" t="b">
        <f>_xlfn.XOR($G$14,I94)</f>
        <v>1</v>
      </c>
      <c r="J99" t="b">
        <f>_xlfn.XOR($G$15,J94)</f>
        <v>0</v>
      </c>
      <c r="N99" t="b">
        <f t="shared" ref="N99:N101" si="37">OR(W99:W102)</f>
        <v>1</v>
      </c>
      <c r="P99" t="b">
        <f>_xlfn.XOR($N$14,P94)</f>
        <v>0</v>
      </c>
      <c r="Q99" t="b">
        <f>_xlfn.XOR($N$15,Q94)</f>
        <v>0</v>
      </c>
      <c r="R99" t="b">
        <f>_xlfn.XOR($N$16,R94)</f>
        <v>0</v>
      </c>
      <c r="U99">
        <f t="shared" ref="U99:U102" si="38">IF(W94,IF(V94,1,-1),0)</f>
        <v>1</v>
      </c>
      <c r="W99" t="b">
        <f t="shared" ref="W99:Y102" si="39">AND($W94,(_xlfn.XOR(P99,NOT($U94))))</f>
        <v>1</v>
      </c>
      <c r="X99" t="b">
        <f t="shared" si="39"/>
        <v>1</v>
      </c>
      <c r="Y99" t="b">
        <f t="shared" si="39"/>
        <v>1</v>
      </c>
    </row>
    <row r="100" spans="2:25" ht="13">
      <c r="B100" t="b">
        <f>_xlfn.XOR(B95,B92)</f>
        <v>1</v>
      </c>
      <c r="C100" t="b">
        <f>_xlfn.XOR(C95,C92)</f>
        <v>1</v>
      </c>
      <c r="D100" t="b">
        <f>_xlfn.XOR(D95,D92)</f>
        <v>0</v>
      </c>
      <c r="G100" s="1" t="b">
        <f>OR(J103:J105)</f>
        <v>1</v>
      </c>
      <c r="I100" t="b">
        <f>_xlfn.XOR($G$14,I95)</f>
        <v>1</v>
      </c>
      <c r="J100" t="b">
        <f>_xlfn.XOR($G$15,J95)</f>
        <v>0</v>
      </c>
      <c r="N100" t="b">
        <f t="shared" si="37"/>
        <v>1</v>
      </c>
      <c r="P100" t="b">
        <f>_xlfn.XOR($N$14,P95)</f>
        <v>1</v>
      </c>
      <c r="Q100" t="b">
        <f>_xlfn.XOR($N$15,Q95)</f>
        <v>0</v>
      </c>
      <c r="R100" t="b">
        <f>_xlfn.XOR($N$16,R95)</f>
        <v>0</v>
      </c>
      <c r="U100">
        <f t="shared" si="38"/>
        <v>1</v>
      </c>
      <c r="W100" t="b">
        <f t="shared" si="39"/>
        <v>0</v>
      </c>
      <c r="X100" t="b">
        <f t="shared" si="39"/>
        <v>1</v>
      </c>
      <c r="Y100" t="b">
        <f t="shared" si="39"/>
        <v>1</v>
      </c>
    </row>
    <row r="101" spans="2:25" ht="13">
      <c r="I101" t="b">
        <f>_xlfn.XOR($G$14,I96)</f>
        <v>1</v>
      </c>
      <c r="J101" t="b">
        <f>_xlfn.XOR($G$15,J96)</f>
        <v>0</v>
      </c>
      <c r="N101" t="b">
        <f t="shared" si="37"/>
        <v>1</v>
      </c>
      <c r="P101" t="b">
        <f>_xlfn.XOR($N$14,P96)</f>
        <v>0</v>
      </c>
      <c r="Q101" t="b">
        <f>_xlfn.XOR($N$15,Q96)</f>
        <v>0</v>
      </c>
      <c r="R101" t="b">
        <f>_xlfn.XOR($N$16,R96)</f>
        <v>0</v>
      </c>
      <c r="U101">
        <f t="shared" si="38"/>
        <v>1</v>
      </c>
      <c r="W101" t="b">
        <f t="shared" si="39"/>
        <v>1</v>
      </c>
      <c r="X101" t="b">
        <f t="shared" si="39"/>
        <v>1</v>
      </c>
      <c r="Y101" t="b">
        <f t="shared" si="39"/>
        <v>1</v>
      </c>
    </row>
    <row r="102" spans="2:25" ht="13">
      <c r="B102" s="1" t="s">
        <v>149</v>
      </c>
      <c r="P102" t="b">
        <f>_xlfn.XOR($N$14,P97)</f>
        <v>0</v>
      </c>
      <c r="Q102" t="b">
        <f>_xlfn.XOR($N$15,Q97)</f>
        <v>0</v>
      </c>
      <c r="R102" t="b">
        <f>_xlfn.XOR($N$16,R97)</f>
        <v>0</v>
      </c>
      <c r="U102">
        <f t="shared" si="38"/>
        <v>1</v>
      </c>
      <c r="W102" t="b">
        <f t="shared" si="39"/>
        <v>1</v>
      </c>
      <c r="X102" t="b">
        <f t="shared" si="39"/>
        <v>1</v>
      </c>
      <c r="Y102" t="b">
        <f t="shared" si="39"/>
        <v>1</v>
      </c>
    </row>
    <row r="103" spans="2:25" ht="13">
      <c r="B103" t="b">
        <f t="shared" ref="B103:D104" si="40">AND($G99,(_xlfn.XOR(B99,NOT($G94))))</f>
        <v>1</v>
      </c>
      <c r="C103" t="b">
        <f t="shared" si="40"/>
        <v>0</v>
      </c>
      <c r="D103" t="b">
        <f t="shared" si="40"/>
        <v>1</v>
      </c>
      <c r="H103" s="1" t="s">
        <v>144</v>
      </c>
      <c r="I103" t="b">
        <f t="shared" ref="I103:J105" si="41">AND($N99,(_xlfn.XOR(I99,NOT($N94))))</f>
        <v>1</v>
      </c>
      <c r="J103" t="b">
        <f t="shared" si="41"/>
        <v>0</v>
      </c>
    </row>
    <row r="104" spans="2:25" ht="13">
      <c r="B104" t="b">
        <f t="shared" si="40"/>
        <v>0</v>
      </c>
      <c r="C104" t="b">
        <f t="shared" si="40"/>
        <v>0</v>
      </c>
      <c r="D104" t="b">
        <f t="shared" si="40"/>
        <v>1</v>
      </c>
      <c r="I104" t="b">
        <f t="shared" si="41"/>
        <v>0</v>
      </c>
      <c r="J104" t="b">
        <f t="shared" si="41"/>
        <v>1</v>
      </c>
      <c r="U104" s="1" t="s">
        <v>136</v>
      </c>
    </row>
    <row r="105" spans="2:25" ht="13">
      <c r="I105" t="b">
        <f t="shared" si="41"/>
        <v>0</v>
      </c>
      <c r="J105" t="b">
        <f t="shared" si="41"/>
        <v>1</v>
      </c>
    </row>
    <row r="107" spans="2:25" ht="13">
      <c r="B107" s="1">
        <v>1</v>
      </c>
      <c r="C107" s="1">
        <v>1</v>
      </c>
      <c r="D107" s="1">
        <v>1</v>
      </c>
    </row>
    <row r="108" spans="2:25" ht="13">
      <c r="B108" s="40" t="s">
        <v>25</v>
      </c>
      <c r="C108" s="38"/>
      <c r="D108" s="38"/>
      <c r="E108" s="1" t="s">
        <v>24</v>
      </c>
      <c r="G108" s="1" t="s">
        <v>127</v>
      </c>
      <c r="I108" s="40" t="s">
        <v>23</v>
      </c>
      <c r="J108" s="38"/>
      <c r="K108" s="38"/>
      <c r="L108" s="1" t="s">
        <v>22</v>
      </c>
      <c r="N108" s="1" t="s">
        <v>128</v>
      </c>
      <c r="P108" s="40" t="s">
        <v>36</v>
      </c>
      <c r="Q108" s="38"/>
      <c r="R108" s="38"/>
      <c r="S108" s="1" t="s">
        <v>35</v>
      </c>
      <c r="U108" s="1" t="s">
        <v>129</v>
      </c>
      <c r="V108" s="1" t="s">
        <v>130</v>
      </c>
      <c r="W108" s="1" t="s">
        <v>95</v>
      </c>
    </row>
    <row r="109" spans="2:25" ht="13">
      <c r="B109" s="1">
        <v>1</v>
      </c>
      <c r="C109" s="1">
        <v>0</v>
      </c>
      <c r="D109" s="1">
        <v>0</v>
      </c>
      <c r="E109" s="1">
        <v>2</v>
      </c>
      <c r="G109" t="b">
        <f t="shared" ref="G109:G110" si="42">COUNTIF(B114:D114, TRUE)&gt;=E109</f>
        <v>1</v>
      </c>
      <c r="I109" s="1">
        <v>1</v>
      </c>
      <c r="J109" s="1">
        <v>0</v>
      </c>
      <c r="L109" s="1">
        <v>1</v>
      </c>
      <c r="N109" t="b">
        <f t="shared" ref="N109:N111" si="43">COUNTIF(I114:J114, TRUE)&gt;=L109</f>
        <v>1</v>
      </c>
      <c r="P109" s="1">
        <v>0</v>
      </c>
      <c r="Q109" s="1">
        <v>0</v>
      </c>
      <c r="R109" s="1">
        <v>0</v>
      </c>
      <c r="S109" s="1">
        <v>3</v>
      </c>
      <c r="U109" t="b">
        <f t="shared" ref="U109:U112" si="44">COUNTIF(P114:R114, TRUE)&gt;=S109</f>
        <v>0</v>
      </c>
      <c r="V109" s="1">
        <v>0</v>
      </c>
      <c r="W109" t="b">
        <f>_xlfn.XOR(V109,U109)</f>
        <v>0</v>
      </c>
    </row>
    <row r="110" spans="2:25" ht="13">
      <c r="B110" s="1">
        <v>0</v>
      </c>
      <c r="C110" s="1">
        <v>0</v>
      </c>
      <c r="D110" s="1">
        <v>0</v>
      </c>
      <c r="E110" s="1">
        <v>3</v>
      </c>
      <c r="G110" t="b">
        <f t="shared" si="42"/>
        <v>1</v>
      </c>
      <c r="I110" s="1">
        <v>1</v>
      </c>
      <c r="J110" s="1">
        <v>0</v>
      </c>
      <c r="L110" s="1">
        <v>2</v>
      </c>
      <c r="N110" t="b">
        <f t="shared" si="43"/>
        <v>0</v>
      </c>
      <c r="P110" s="1">
        <v>1</v>
      </c>
      <c r="Q110" s="1">
        <v>0</v>
      </c>
      <c r="R110" s="1">
        <v>0</v>
      </c>
      <c r="S110" s="1">
        <v>3</v>
      </c>
      <c r="U110" t="b">
        <f t="shared" si="44"/>
        <v>0</v>
      </c>
      <c r="V110" s="1">
        <v>0</v>
      </c>
      <c r="W110" t="b">
        <f>_xlfn.XOR(V110,U110)</f>
        <v>0</v>
      </c>
    </row>
    <row r="111" spans="2:25" ht="13">
      <c r="I111" s="1">
        <v>1</v>
      </c>
      <c r="J111" s="1">
        <v>0</v>
      </c>
      <c r="L111" s="1">
        <v>2</v>
      </c>
      <c r="N111" t="b">
        <f t="shared" si="43"/>
        <v>0</v>
      </c>
      <c r="P111" s="1">
        <v>0</v>
      </c>
      <c r="Q111" s="1">
        <v>0</v>
      </c>
      <c r="R111" s="1">
        <v>0</v>
      </c>
      <c r="S111" s="1">
        <v>3</v>
      </c>
      <c r="U111" t="b">
        <f t="shared" si="44"/>
        <v>0</v>
      </c>
      <c r="V111" s="1">
        <v>0</v>
      </c>
      <c r="W111" t="b">
        <f>_xlfn.XOR(V111,U111)</f>
        <v>0</v>
      </c>
    </row>
    <row r="112" spans="2:25" ht="13">
      <c r="P112" s="1">
        <v>0</v>
      </c>
      <c r="Q112" s="1">
        <v>0</v>
      </c>
      <c r="R112" s="1">
        <v>0</v>
      </c>
      <c r="S112" s="1">
        <v>3</v>
      </c>
      <c r="U112" t="b">
        <f t="shared" si="44"/>
        <v>0</v>
      </c>
      <c r="V112" s="1">
        <v>0</v>
      </c>
      <c r="W112" t="b">
        <f>_xlfn.XOR(V112,U112)</f>
        <v>0</v>
      </c>
    </row>
    <row r="113" spans="2:25" ht="13">
      <c r="G113" s="1" t="s">
        <v>55</v>
      </c>
      <c r="N113" s="1" t="s">
        <v>142</v>
      </c>
      <c r="U113" s="1" t="s">
        <v>133</v>
      </c>
      <c r="W113" s="1" t="s">
        <v>138</v>
      </c>
    </row>
    <row r="114" spans="2:25" ht="13">
      <c r="B114" t="b">
        <f>_xlfn.XOR(B109,B107)</f>
        <v>0</v>
      </c>
      <c r="C114" t="b">
        <f>_xlfn.XOR(C109,C107)</f>
        <v>1</v>
      </c>
      <c r="D114" t="b">
        <f>_xlfn.XOR(D109,D107)</f>
        <v>1</v>
      </c>
      <c r="G114" s="1" t="b">
        <f>OR(I118:I120)</f>
        <v>0</v>
      </c>
      <c r="I114" t="b">
        <f>_xlfn.XOR($G$14,I109)</f>
        <v>1</v>
      </c>
      <c r="J114" t="b">
        <f>_xlfn.XOR($G$15,J109)</f>
        <v>0</v>
      </c>
      <c r="N114" t="b">
        <f t="shared" ref="N114:N116" si="45">OR(W114:W117)</f>
        <v>0</v>
      </c>
      <c r="P114" t="b">
        <f>_xlfn.XOR($N$14,P109)</f>
        <v>0</v>
      </c>
      <c r="Q114" t="b">
        <f>_xlfn.XOR($N$15,Q109)</f>
        <v>0</v>
      </c>
      <c r="R114" t="b">
        <f>_xlfn.XOR($N$16,R109)</f>
        <v>0</v>
      </c>
      <c r="U114">
        <f t="shared" ref="U114:U117" si="46">IF(W109,IF(V109,1,-1),0)</f>
        <v>0</v>
      </c>
      <c r="W114" t="b">
        <f t="shared" ref="W114:Y117" si="47">AND($W109,(_xlfn.XOR(P114,NOT($U109))))</f>
        <v>0</v>
      </c>
      <c r="X114" t="b">
        <f t="shared" si="47"/>
        <v>0</v>
      </c>
      <c r="Y114" t="b">
        <f t="shared" si="47"/>
        <v>0</v>
      </c>
    </row>
    <row r="115" spans="2:25" ht="13">
      <c r="B115" t="b">
        <f>_xlfn.XOR(B110,B107)</f>
        <v>1</v>
      </c>
      <c r="C115" t="b">
        <f>_xlfn.XOR(C110,C107)</f>
        <v>1</v>
      </c>
      <c r="D115" t="b">
        <f>_xlfn.XOR(D110,D107)</f>
        <v>1</v>
      </c>
      <c r="G115" s="1" t="b">
        <f>OR(J118:J120)</f>
        <v>0</v>
      </c>
      <c r="I115" t="b">
        <f>_xlfn.XOR($G$14,I110)</f>
        <v>1</v>
      </c>
      <c r="J115" t="b">
        <f>_xlfn.XOR($G$15,J110)</f>
        <v>0</v>
      </c>
      <c r="N115" t="b">
        <f t="shared" si="45"/>
        <v>0</v>
      </c>
      <c r="P115" t="b">
        <f>_xlfn.XOR($N$14,P110)</f>
        <v>1</v>
      </c>
      <c r="Q115" t="b">
        <f>_xlfn.XOR($N$15,Q110)</f>
        <v>0</v>
      </c>
      <c r="R115" t="b">
        <f>_xlfn.XOR($N$16,R110)</f>
        <v>0</v>
      </c>
      <c r="U115">
        <f t="shared" si="46"/>
        <v>0</v>
      </c>
      <c r="W115" t="b">
        <f t="shared" si="47"/>
        <v>0</v>
      </c>
      <c r="X115" t="b">
        <f t="shared" si="47"/>
        <v>0</v>
      </c>
      <c r="Y115" t="b">
        <f t="shared" si="47"/>
        <v>0</v>
      </c>
    </row>
    <row r="116" spans="2:25" ht="13">
      <c r="I116" t="b">
        <f>_xlfn.XOR($G$14,I111)</f>
        <v>1</v>
      </c>
      <c r="J116" t="b">
        <f>_xlfn.XOR($G$15,J111)</f>
        <v>0</v>
      </c>
      <c r="N116" t="b">
        <f t="shared" si="45"/>
        <v>0</v>
      </c>
      <c r="P116" t="b">
        <f>_xlfn.XOR($N$14,P111)</f>
        <v>0</v>
      </c>
      <c r="Q116" t="b">
        <f>_xlfn.XOR($N$15,Q111)</f>
        <v>0</v>
      </c>
      <c r="R116" t="b">
        <f>_xlfn.XOR($N$16,R111)</f>
        <v>0</v>
      </c>
      <c r="U116">
        <f t="shared" si="46"/>
        <v>0</v>
      </c>
      <c r="W116" t="b">
        <f t="shared" si="47"/>
        <v>0</v>
      </c>
      <c r="X116" t="b">
        <f t="shared" si="47"/>
        <v>0</v>
      </c>
      <c r="Y116" t="b">
        <f t="shared" si="47"/>
        <v>0</v>
      </c>
    </row>
    <row r="117" spans="2:25" ht="13">
      <c r="B117" s="1" t="s">
        <v>149</v>
      </c>
      <c r="P117" t="b">
        <f>_xlfn.XOR($N$14,P112)</f>
        <v>0</v>
      </c>
      <c r="Q117" t="b">
        <f>_xlfn.XOR($N$15,Q112)</f>
        <v>0</v>
      </c>
      <c r="R117" t="b">
        <f>_xlfn.XOR($N$16,R112)</f>
        <v>0</v>
      </c>
      <c r="U117">
        <f t="shared" si="46"/>
        <v>0</v>
      </c>
      <c r="W117" t="b">
        <f t="shared" si="47"/>
        <v>0</v>
      </c>
      <c r="X117" t="b">
        <f t="shared" si="47"/>
        <v>0</v>
      </c>
      <c r="Y117" t="b">
        <f t="shared" si="47"/>
        <v>0</v>
      </c>
    </row>
    <row r="118" spans="2:25" ht="13">
      <c r="B118" t="b">
        <f t="shared" ref="B118:D119" si="48">AND($G114,(_xlfn.XOR(B114,NOT($G109))))</f>
        <v>0</v>
      </c>
      <c r="C118" t="b">
        <f t="shared" si="48"/>
        <v>0</v>
      </c>
      <c r="D118" t="b">
        <f t="shared" si="48"/>
        <v>0</v>
      </c>
      <c r="H118" s="1" t="s">
        <v>144</v>
      </c>
      <c r="I118" t="b">
        <f t="shared" ref="I118:J120" si="49">AND($N114,(_xlfn.XOR(I114,NOT($N109))))</f>
        <v>0</v>
      </c>
      <c r="J118" t="b">
        <f t="shared" si="49"/>
        <v>0</v>
      </c>
    </row>
    <row r="119" spans="2:25" ht="13">
      <c r="B119" t="b">
        <f t="shared" si="48"/>
        <v>0</v>
      </c>
      <c r="C119" t="b">
        <f t="shared" si="48"/>
        <v>0</v>
      </c>
      <c r="D119" t="b">
        <f t="shared" si="48"/>
        <v>0</v>
      </c>
      <c r="I119" t="b">
        <f t="shared" si="49"/>
        <v>0</v>
      </c>
      <c r="J119" t="b">
        <f t="shared" si="49"/>
        <v>0</v>
      </c>
      <c r="U119" s="1" t="s">
        <v>153</v>
      </c>
    </row>
    <row r="120" spans="2:25" ht="13">
      <c r="I120" t="b">
        <f t="shared" si="49"/>
        <v>0</v>
      </c>
      <c r="J120" t="b">
        <f t="shared" si="49"/>
        <v>0</v>
      </c>
    </row>
    <row r="122" spans="2:25" ht="13">
      <c r="B122" s="4">
        <v>0</v>
      </c>
      <c r="C122" s="4">
        <v>0</v>
      </c>
      <c r="D122" s="4">
        <v>0</v>
      </c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</row>
    <row r="123" spans="2:25" ht="13">
      <c r="B123" s="37" t="s">
        <v>25</v>
      </c>
      <c r="C123" s="38"/>
      <c r="D123" s="38"/>
      <c r="E123" s="18" t="s">
        <v>24</v>
      </c>
      <c r="F123" s="18"/>
      <c r="G123" s="18" t="s">
        <v>127</v>
      </c>
      <c r="H123" s="18"/>
      <c r="I123" s="37" t="s">
        <v>23</v>
      </c>
      <c r="J123" s="38"/>
      <c r="K123" s="38"/>
      <c r="L123" s="18" t="s">
        <v>22</v>
      </c>
      <c r="M123" s="18"/>
      <c r="N123" s="18" t="s">
        <v>128</v>
      </c>
      <c r="O123" s="18"/>
      <c r="P123" s="37" t="s">
        <v>36</v>
      </c>
      <c r="Q123" s="38"/>
      <c r="R123" s="38"/>
      <c r="S123" s="18" t="s">
        <v>35</v>
      </c>
      <c r="T123" s="18"/>
      <c r="U123" s="18" t="s">
        <v>129</v>
      </c>
      <c r="V123" s="18" t="s">
        <v>130</v>
      </c>
      <c r="W123" s="18" t="s">
        <v>95</v>
      </c>
    </row>
    <row r="124" spans="2:25" ht="13">
      <c r="B124" s="5">
        <v>1</v>
      </c>
      <c r="C124" s="5">
        <v>0</v>
      </c>
      <c r="D124" s="5">
        <v>0</v>
      </c>
      <c r="E124" s="5">
        <v>2</v>
      </c>
      <c r="F124" s="18"/>
      <c r="G124" s="19" t="b">
        <f t="shared" ref="G124:G125" si="50">COUNTIF(B129:D129, TRUE)&gt;=E124</f>
        <v>0</v>
      </c>
      <c r="H124" s="18"/>
      <c r="I124" s="5">
        <v>1</v>
      </c>
      <c r="J124" s="5">
        <v>0</v>
      </c>
      <c r="K124" s="18"/>
      <c r="L124" s="5">
        <v>1</v>
      </c>
      <c r="M124" s="18"/>
      <c r="N124" s="19" t="b">
        <f t="shared" ref="N124:N126" si="51">COUNTIF(I129:J129, TRUE)&gt;=L124</f>
        <v>1</v>
      </c>
      <c r="O124" s="18"/>
      <c r="P124" s="5">
        <v>0</v>
      </c>
      <c r="Q124" s="5">
        <v>0</v>
      </c>
      <c r="R124" s="5">
        <v>0</v>
      </c>
      <c r="S124" s="5">
        <v>3</v>
      </c>
      <c r="T124" s="18"/>
      <c r="U124" s="19" t="b">
        <f t="shared" ref="U124:U127" si="52">COUNTIF(P129:R129, TRUE)&gt;=S124</f>
        <v>0</v>
      </c>
      <c r="V124" s="5">
        <v>0</v>
      </c>
      <c r="W124" s="19" t="b">
        <f>_xlfn.XOR(V124,U124)</f>
        <v>0</v>
      </c>
    </row>
    <row r="125" spans="2:25" ht="13">
      <c r="B125" s="5">
        <v>0</v>
      </c>
      <c r="C125" s="5">
        <v>0</v>
      </c>
      <c r="D125" s="5">
        <v>0</v>
      </c>
      <c r="E125" s="5">
        <v>3</v>
      </c>
      <c r="F125" s="18"/>
      <c r="G125" s="19" t="b">
        <f t="shared" si="50"/>
        <v>0</v>
      </c>
      <c r="H125" s="18"/>
      <c r="I125" s="5">
        <v>1</v>
      </c>
      <c r="J125" s="5">
        <v>0</v>
      </c>
      <c r="K125" s="18"/>
      <c r="L125" s="5">
        <v>2</v>
      </c>
      <c r="M125" s="18"/>
      <c r="N125" s="19" t="b">
        <f t="shared" si="51"/>
        <v>0</v>
      </c>
      <c r="O125" s="18"/>
      <c r="P125" s="5">
        <v>1</v>
      </c>
      <c r="Q125" s="5">
        <v>0</v>
      </c>
      <c r="R125" s="5">
        <v>0</v>
      </c>
      <c r="S125" s="5">
        <v>3</v>
      </c>
      <c r="T125" s="18"/>
      <c r="U125" s="19" t="b">
        <f t="shared" si="52"/>
        <v>0</v>
      </c>
      <c r="V125" s="4">
        <v>1</v>
      </c>
      <c r="W125" s="19" t="b">
        <f>_xlfn.XOR(V125,U125)</f>
        <v>1</v>
      </c>
    </row>
    <row r="126" spans="2:25" ht="13">
      <c r="B126" s="18"/>
      <c r="C126" s="18"/>
      <c r="D126" s="18"/>
      <c r="E126" s="18"/>
      <c r="F126" s="18"/>
      <c r="G126" s="18"/>
      <c r="H126" s="18"/>
      <c r="I126" s="5">
        <v>1</v>
      </c>
      <c r="J126" s="5">
        <v>0</v>
      </c>
      <c r="K126" s="18"/>
      <c r="L126" s="5">
        <v>2</v>
      </c>
      <c r="M126" s="18"/>
      <c r="N126" s="19" t="b">
        <f t="shared" si="51"/>
        <v>0</v>
      </c>
      <c r="O126" s="18"/>
      <c r="P126" s="5">
        <v>0</v>
      </c>
      <c r="Q126" s="5">
        <v>0</v>
      </c>
      <c r="R126" s="5">
        <v>0</v>
      </c>
      <c r="S126" s="5">
        <v>3</v>
      </c>
      <c r="T126" s="18"/>
      <c r="U126" s="19" t="b">
        <f t="shared" si="52"/>
        <v>0</v>
      </c>
      <c r="V126" s="5">
        <v>0</v>
      </c>
      <c r="W126" s="19" t="b">
        <f>_xlfn.XOR(V126,U126)</f>
        <v>0</v>
      </c>
    </row>
    <row r="127" spans="2:25" ht="13"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5">
        <v>0</v>
      </c>
      <c r="Q127" s="5">
        <v>0</v>
      </c>
      <c r="R127" s="5">
        <v>0</v>
      </c>
      <c r="S127" s="5">
        <v>3</v>
      </c>
      <c r="T127" s="18"/>
      <c r="U127" s="19" t="b">
        <f t="shared" si="52"/>
        <v>0</v>
      </c>
      <c r="V127" s="4">
        <v>1</v>
      </c>
      <c r="W127" s="19" t="b">
        <f>_xlfn.XOR(V127,U127)</f>
        <v>1</v>
      </c>
    </row>
    <row r="128" spans="2:25" ht="13">
      <c r="B128" s="18"/>
      <c r="C128" s="18"/>
      <c r="D128" s="18"/>
      <c r="E128" s="18"/>
      <c r="F128" s="18"/>
      <c r="G128" s="18" t="s">
        <v>55</v>
      </c>
      <c r="H128" s="18"/>
      <c r="I128" s="18"/>
      <c r="J128" s="18"/>
      <c r="K128" s="18"/>
      <c r="L128" s="1" t="s">
        <v>141</v>
      </c>
      <c r="M128" s="18"/>
      <c r="N128" s="18" t="s">
        <v>142</v>
      </c>
      <c r="O128" s="18"/>
      <c r="P128" s="18"/>
      <c r="Q128" s="18"/>
      <c r="R128" s="18"/>
      <c r="S128" s="18"/>
      <c r="T128" s="18"/>
      <c r="U128" s="18" t="s">
        <v>133</v>
      </c>
      <c r="V128" s="18"/>
      <c r="W128" s="18" t="s">
        <v>138</v>
      </c>
    </row>
    <row r="129" spans="2:25" ht="13">
      <c r="B129" s="19" t="b">
        <f>_xlfn.XOR(B124,B122)</f>
        <v>1</v>
      </c>
      <c r="C129" s="19" t="b">
        <f>_xlfn.XOR(C124,C122)</f>
        <v>0</v>
      </c>
      <c r="D129" s="19" t="b">
        <f>_xlfn.XOR(D124,D122)</f>
        <v>0</v>
      </c>
      <c r="E129" s="18"/>
      <c r="F129" s="18"/>
      <c r="G129" s="19" t="b">
        <f>OR(I133:I135)</f>
        <v>1</v>
      </c>
      <c r="H129" s="18"/>
      <c r="I129" s="19" t="b">
        <f>_xlfn.XOR($G$14,I124)</f>
        <v>1</v>
      </c>
      <c r="J129" s="19" t="b">
        <f>_xlfn.XOR($G$15,J124)</f>
        <v>0</v>
      </c>
      <c r="K129" s="18"/>
      <c r="L129">
        <f t="shared" ref="L129:L131" si="53">IF(N129,IF(N124,1,-1),0)</f>
        <v>1</v>
      </c>
      <c r="M129" s="18"/>
      <c r="N129" s="19" t="b">
        <f t="shared" ref="N129:N131" si="54">OR(W129:W132)</f>
        <v>1</v>
      </c>
      <c r="O129" s="18"/>
      <c r="P129" s="19" t="b">
        <f>_xlfn.XOR($N$14,P124)</f>
        <v>0</v>
      </c>
      <c r="Q129" s="19" t="b">
        <f>_xlfn.XOR($N$15,Q124)</f>
        <v>0</v>
      </c>
      <c r="R129" s="19" t="b">
        <f>_xlfn.XOR($N$16,R124)</f>
        <v>0</v>
      </c>
      <c r="S129" s="18"/>
      <c r="T129" s="18"/>
      <c r="U129" s="5">
        <f t="shared" ref="U129:U132" si="55">IF(W124,IF(V124,1,-1),0)</f>
        <v>0</v>
      </c>
      <c r="V129" s="18"/>
      <c r="W129" s="19" t="b">
        <f t="shared" ref="W129:Y132" si="56">AND($W124,(_xlfn.XOR(P129,NOT($U124))))</f>
        <v>0</v>
      </c>
      <c r="X129" t="b">
        <f t="shared" si="56"/>
        <v>0</v>
      </c>
      <c r="Y129" t="b">
        <f t="shared" si="56"/>
        <v>0</v>
      </c>
    </row>
    <row r="130" spans="2:25" ht="13">
      <c r="B130" s="19" t="b">
        <f>_xlfn.XOR(B125,B122)</f>
        <v>0</v>
      </c>
      <c r="C130" s="19" t="b">
        <f>_xlfn.XOR(C125,C122)</f>
        <v>0</v>
      </c>
      <c r="D130" s="19" t="b">
        <f>_xlfn.XOR(D125,D122)</f>
        <v>0</v>
      </c>
      <c r="E130" s="18"/>
      <c r="F130" s="18"/>
      <c r="G130" s="19" t="b">
        <f>OR(J133:J135)</f>
        <v>1</v>
      </c>
      <c r="H130" s="18"/>
      <c r="I130" s="19" t="b">
        <f>_xlfn.XOR($G$14,I125)</f>
        <v>1</v>
      </c>
      <c r="J130" s="19" t="b">
        <f>_xlfn.XOR($G$15,J125)</f>
        <v>0</v>
      </c>
      <c r="K130" s="18"/>
      <c r="L130">
        <f t="shared" si="53"/>
        <v>-1</v>
      </c>
      <c r="M130" s="18"/>
      <c r="N130" s="19" t="b">
        <f t="shared" si="54"/>
        <v>1</v>
      </c>
      <c r="O130" s="18"/>
      <c r="P130" s="19" t="b">
        <f>_xlfn.XOR($N$14,P125)</f>
        <v>1</v>
      </c>
      <c r="Q130" s="19" t="b">
        <f>_xlfn.XOR($N$15,Q125)</f>
        <v>0</v>
      </c>
      <c r="R130" s="19" t="b">
        <f>_xlfn.XOR($N$16,R125)</f>
        <v>0</v>
      </c>
      <c r="S130" s="18"/>
      <c r="T130" s="18"/>
      <c r="U130" s="5">
        <f t="shared" si="55"/>
        <v>1</v>
      </c>
      <c r="V130" s="18"/>
      <c r="W130" s="19" t="b">
        <f t="shared" si="56"/>
        <v>0</v>
      </c>
      <c r="X130" t="b">
        <f t="shared" si="56"/>
        <v>1</v>
      </c>
      <c r="Y130" t="b">
        <f t="shared" si="56"/>
        <v>1</v>
      </c>
    </row>
    <row r="131" spans="2:25" ht="13">
      <c r="B131" s="18"/>
      <c r="C131" s="18"/>
      <c r="D131" s="18"/>
      <c r="E131" s="18"/>
      <c r="F131" s="18"/>
      <c r="G131" s="18"/>
      <c r="H131" s="18"/>
      <c r="I131" s="19" t="b">
        <f>_xlfn.XOR($G$14,I126)</f>
        <v>1</v>
      </c>
      <c r="J131" s="19" t="b">
        <f>_xlfn.XOR($G$15,J126)</f>
        <v>0</v>
      </c>
      <c r="K131" s="18"/>
      <c r="L131">
        <f t="shared" si="53"/>
        <v>-1</v>
      </c>
      <c r="M131" s="18"/>
      <c r="N131" s="19" t="b">
        <f t="shared" si="54"/>
        <v>1</v>
      </c>
      <c r="O131" s="18"/>
      <c r="P131" s="19" t="b">
        <f>_xlfn.XOR($N$14,P126)</f>
        <v>0</v>
      </c>
      <c r="Q131" s="19" t="b">
        <f>_xlfn.XOR($N$15,Q126)</f>
        <v>0</v>
      </c>
      <c r="R131" s="19" t="b">
        <f>_xlfn.XOR($N$16,R126)</f>
        <v>0</v>
      </c>
      <c r="S131" s="18"/>
      <c r="T131" s="18"/>
      <c r="U131" s="5">
        <f t="shared" si="55"/>
        <v>0</v>
      </c>
      <c r="V131" s="18"/>
      <c r="W131" s="19" t="b">
        <f t="shared" si="56"/>
        <v>0</v>
      </c>
      <c r="X131" t="b">
        <f t="shared" si="56"/>
        <v>0</v>
      </c>
      <c r="Y131" t="b">
        <f t="shared" si="56"/>
        <v>0</v>
      </c>
    </row>
    <row r="132" spans="2:25" ht="13">
      <c r="B132" s="18" t="s">
        <v>149</v>
      </c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9" t="b">
        <f>_xlfn.XOR($N$14,P127)</f>
        <v>0</v>
      </c>
      <c r="Q132" s="19" t="b">
        <f>_xlfn.XOR($N$15,Q127)</f>
        <v>0</v>
      </c>
      <c r="R132" s="19" t="b">
        <f>_xlfn.XOR($N$16,R127)</f>
        <v>0</v>
      </c>
      <c r="S132" s="18"/>
      <c r="T132" s="18"/>
      <c r="U132" s="5">
        <f t="shared" si="55"/>
        <v>1</v>
      </c>
      <c r="V132" s="18"/>
      <c r="W132" s="19" t="b">
        <f t="shared" si="56"/>
        <v>1</v>
      </c>
      <c r="X132" t="b">
        <f t="shared" si="56"/>
        <v>1</v>
      </c>
      <c r="Y132" t="b">
        <f t="shared" si="56"/>
        <v>1</v>
      </c>
    </row>
    <row r="133" spans="2:25" ht="13">
      <c r="B133" s="19" t="b">
        <f t="shared" ref="B133:D134" si="57">AND($G129,(_xlfn.XOR(B129,NOT($G124))))</f>
        <v>0</v>
      </c>
      <c r="C133" s="19" t="b">
        <f t="shared" si="57"/>
        <v>1</v>
      </c>
      <c r="D133" s="19" t="b">
        <f t="shared" si="57"/>
        <v>1</v>
      </c>
      <c r="E133" s="18"/>
      <c r="F133" s="18"/>
      <c r="G133" s="18"/>
      <c r="H133" s="18" t="s">
        <v>144</v>
      </c>
      <c r="I133" s="19" t="b">
        <f t="shared" ref="I133:J135" si="58">AND($N129,(_xlfn.XOR(I129,NOT($N124))))</f>
        <v>1</v>
      </c>
      <c r="J133" s="19" t="b">
        <f t="shared" si="58"/>
        <v>0</v>
      </c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</row>
    <row r="134" spans="2:25" ht="13">
      <c r="B134" s="19" t="b">
        <f t="shared" si="57"/>
        <v>1</v>
      </c>
      <c r="C134" s="19" t="b">
        <f t="shared" si="57"/>
        <v>1</v>
      </c>
      <c r="D134" s="19" t="b">
        <f t="shared" si="57"/>
        <v>1</v>
      </c>
      <c r="E134" s="18"/>
      <c r="F134" s="18"/>
      <c r="G134" s="18"/>
      <c r="H134" s="18"/>
      <c r="I134" s="19" t="b">
        <f t="shared" si="58"/>
        <v>0</v>
      </c>
      <c r="J134" s="19" t="b">
        <f t="shared" si="58"/>
        <v>1</v>
      </c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</row>
    <row r="135" spans="2:25" ht="13">
      <c r="B135" s="18"/>
      <c r="C135" s="18"/>
      <c r="D135" s="18"/>
      <c r="E135" s="18"/>
      <c r="F135" s="18"/>
      <c r="G135" s="18"/>
      <c r="H135" s="18"/>
      <c r="I135" s="19" t="b">
        <f t="shared" si="58"/>
        <v>0</v>
      </c>
      <c r="J135" s="19" t="b">
        <f t="shared" si="58"/>
        <v>1</v>
      </c>
      <c r="K135" s="18"/>
      <c r="L135" s="1" t="s">
        <v>155</v>
      </c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</row>
    <row r="137" spans="2:25" ht="13">
      <c r="B137" s="4">
        <v>0</v>
      </c>
      <c r="C137" s="4">
        <v>0</v>
      </c>
      <c r="D137" s="4">
        <v>1</v>
      </c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</row>
    <row r="138" spans="2:25" ht="13">
      <c r="B138" s="37" t="s">
        <v>25</v>
      </c>
      <c r="C138" s="38"/>
      <c r="D138" s="38"/>
      <c r="E138" s="18" t="s">
        <v>24</v>
      </c>
      <c r="F138" s="18"/>
      <c r="G138" s="18" t="s">
        <v>127</v>
      </c>
      <c r="H138" s="18"/>
      <c r="I138" s="37" t="s">
        <v>23</v>
      </c>
      <c r="J138" s="38"/>
      <c r="K138" s="38"/>
      <c r="L138" s="18" t="s">
        <v>22</v>
      </c>
      <c r="M138" s="18"/>
      <c r="N138" s="18" t="s">
        <v>128</v>
      </c>
      <c r="O138" s="18"/>
      <c r="P138" s="37" t="s">
        <v>36</v>
      </c>
      <c r="Q138" s="38"/>
      <c r="R138" s="38"/>
      <c r="S138" s="18" t="s">
        <v>35</v>
      </c>
      <c r="T138" s="18"/>
      <c r="U138" s="18" t="s">
        <v>129</v>
      </c>
      <c r="V138" s="18" t="s">
        <v>130</v>
      </c>
      <c r="W138" s="18" t="s">
        <v>95</v>
      </c>
    </row>
    <row r="139" spans="2:25" ht="13">
      <c r="B139" s="5">
        <v>1</v>
      </c>
      <c r="C139" s="5">
        <v>0</v>
      </c>
      <c r="D139" s="5">
        <v>0</v>
      </c>
      <c r="E139" s="5">
        <v>2</v>
      </c>
      <c r="F139" s="18"/>
      <c r="G139" s="19" t="b">
        <f t="shared" ref="G139:G140" si="59">COUNTIF(B144:D144, TRUE)&gt;=E139</f>
        <v>1</v>
      </c>
      <c r="H139" s="18"/>
      <c r="I139" s="5">
        <v>1</v>
      </c>
      <c r="J139" s="5">
        <v>0</v>
      </c>
      <c r="K139" s="18"/>
      <c r="L139" s="5">
        <v>1</v>
      </c>
      <c r="M139" s="18"/>
      <c r="N139" s="19" t="b">
        <f t="shared" ref="N139:N141" si="60">COUNTIF(I144:J144, TRUE)&gt;=L139</f>
        <v>1</v>
      </c>
      <c r="O139" s="18"/>
      <c r="P139" s="5">
        <v>0</v>
      </c>
      <c r="Q139" s="5">
        <v>0</v>
      </c>
      <c r="R139" s="5">
        <v>0</v>
      </c>
      <c r="S139" s="5">
        <v>3</v>
      </c>
      <c r="T139" s="18"/>
      <c r="U139" s="19" t="b">
        <f t="shared" ref="U139:U142" si="61">COUNTIF(P144:R144, TRUE)&gt;=S139</f>
        <v>0</v>
      </c>
      <c r="V139" s="5">
        <v>0</v>
      </c>
      <c r="W139" s="19" t="b">
        <f>_xlfn.XOR(V139,U139)</f>
        <v>0</v>
      </c>
    </row>
    <row r="140" spans="2:25" ht="13">
      <c r="B140" s="5">
        <v>0</v>
      </c>
      <c r="C140" s="5">
        <v>0</v>
      </c>
      <c r="D140" s="5">
        <v>0</v>
      </c>
      <c r="E140" s="5">
        <v>3</v>
      </c>
      <c r="F140" s="18"/>
      <c r="G140" s="19" t="b">
        <f t="shared" si="59"/>
        <v>0</v>
      </c>
      <c r="H140" s="18"/>
      <c r="I140" s="5">
        <v>1</v>
      </c>
      <c r="J140" s="5">
        <v>0</v>
      </c>
      <c r="K140" s="18"/>
      <c r="L140" s="5">
        <f>L125+L130</f>
        <v>1</v>
      </c>
      <c r="M140" s="18"/>
      <c r="N140" s="19" t="b">
        <f t="shared" si="60"/>
        <v>1</v>
      </c>
      <c r="O140" s="18"/>
      <c r="P140" s="5">
        <v>1</v>
      </c>
      <c r="Q140" s="5">
        <v>0</v>
      </c>
      <c r="R140" s="5">
        <v>0</v>
      </c>
      <c r="S140" s="5">
        <v>3</v>
      </c>
      <c r="T140" s="18"/>
      <c r="U140" s="19" t="b">
        <f t="shared" si="61"/>
        <v>0</v>
      </c>
      <c r="V140" s="4">
        <v>1</v>
      </c>
      <c r="W140" s="19" t="b">
        <f>_xlfn.XOR(V140,U140)</f>
        <v>1</v>
      </c>
    </row>
    <row r="141" spans="2:25" ht="13">
      <c r="B141" s="18"/>
      <c r="C141" s="18"/>
      <c r="D141" s="18"/>
      <c r="E141" s="18"/>
      <c r="F141" s="18"/>
      <c r="G141" s="18"/>
      <c r="H141" s="18"/>
      <c r="I141" s="5">
        <v>1</v>
      </c>
      <c r="J141" s="5">
        <v>0</v>
      </c>
      <c r="K141" s="18"/>
      <c r="L141" s="5">
        <v>2</v>
      </c>
      <c r="M141" s="18"/>
      <c r="N141" s="19" t="b">
        <f t="shared" si="60"/>
        <v>0</v>
      </c>
      <c r="O141" s="18"/>
      <c r="P141" s="5">
        <v>0</v>
      </c>
      <c r="Q141" s="5">
        <v>0</v>
      </c>
      <c r="R141" s="5">
        <v>0</v>
      </c>
      <c r="S141" s="5">
        <v>3</v>
      </c>
      <c r="T141" s="18"/>
      <c r="U141" s="19" t="b">
        <f t="shared" si="61"/>
        <v>0</v>
      </c>
      <c r="V141" s="5">
        <v>0</v>
      </c>
      <c r="W141" s="19" t="b">
        <f>_xlfn.XOR(V141,U141)</f>
        <v>0</v>
      </c>
    </row>
    <row r="142" spans="2:25" ht="13"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5">
        <v>0</v>
      </c>
      <c r="Q142" s="5">
        <v>0</v>
      </c>
      <c r="R142" s="5">
        <v>0</v>
      </c>
      <c r="S142" s="5">
        <v>3</v>
      </c>
      <c r="T142" s="18"/>
      <c r="U142" s="19" t="b">
        <f t="shared" si="61"/>
        <v>0</v>
      </c>
      <c r="V142" s="4">
        <v>0</v>
      </c>
      <c r="W142" s="19" t="b">
        <f>_xlfn.XOR(V142,U142)</f>
        <v>0</v>
      </c>
    </row>
    <row r="143" spans="2:25" ht="13">
      <c r="B143" s="18"/>
      <c r="C143" s="18"/>
      <c r="D143" s="18"/>
      <c r="E143" s="18"/>
      <c r="F143" s="18"/>
      <c r="G143" s="18" t="s">
        <v>55</v>
      </c>
      <c r="H143" s="18"/>
      <c r="I143" s="18"/>
      <c r="J143" s="18"/>
      <c r="K143" s="18"/>
      <c r="L143" s="1" t="s">
        <v>141</v>
      </c>
      <c r="M143" s="18"/>
      <c r="N143" s="18" t="s">
        <v>142</v>
      </c>
      <c r="O143" s="18"/>
      <c r="P143" s="18"/>
      <c r="Q143" s="18"/>
      <c r="R143" s="18"/>
      <c r="S143" s="18"/>
      <c r="T143" s="18"/>
      <c r="U143" s="18" t="s">
        <v>133</v>
      </c>
      <c r="V143" s="18"/>
      <c r="W143" s="18" t="s">
        <v>138</v>
      </c>
    </row>
    <row r="144" spans="2:25" ht="13">
      <c r="B144" s="19" t="b">
        <f>_xlfn.XOR(B139,B137)</f>
        <v>1</v>
      </c>
      <c r="C144" s="19" t="b">
        <f>_xlfn.XOR(C139,C137)</f>
        <v>0</v>
      </c>
      <c r="D144" s="19" t="b">
        <f>_xlfn.XOR(D139,D137)</f>
        <v>1</v>
      </c>
      <c r="E144" s="18"/>
      <c r="F144" s="18"/>
      <c r="G144" s="19" t="b">
        <f>OR(I148:I150)</f>
        <v>0</v>
      </c>
      <c r="H144" s="18"/>
      <c r="I144" s="19" t="b">
        <f>_xlfn.XOR($G$14,I139)</f>
        <v>1</v>
      </c>
      <c r="J144" s="19" t="b">
        <f>_xlfn.XOR($G$15,J139)</f>
        <v>0</v>
      </c>
      <c r="K144" s="18"/>
      <c r="L144">
        <f t="shared" ref="L144:L146" si="62">IF(N144,IF(N139,1,-1),0)</f>
        <v>0</v>
      </c>
      <c r="M144" s="18"/>
      <c r="N144" s="19" t="b">
        <f t="shared" ref="N144:N146" si="63">OR(W144:W147)</f>
        <v>0</v>
      </c>
      <c r="O144" s="18"/>
      <c r="P144" s="19" t="b">
        <f>_xlfn.XOR($N$14,P139)</f>
        <v>0</v>
      </c>
      <c r="Q144" s="19" t="b">
        <f>_xlfn.XOR($N$15,Q139)</f>
        <v>0</v>
      </c>
      <c r="R144" s="19" t="b">
        <f>_xlfn.XOR($N$16,R139)</f>
        <v>0</v>
      </c>
      <c r="S144" s="18"/>
      <c r="T144" s="18"/>
      <c r="U144" s="5">
        <f t="shared" ref="U144:U147" si="64">IF(W139,IF(V139,1,-1),0)</f>
        <v>0</v>
      </c>
      <c r="V144" s="18"/>
      <c r="W144" s="19" t="b">
        <f t="shared" ref="W144:Y147" si="65">AND($W139,(_xlfn.XOR(P144,NOT($U139))))</f>
        <v>0</v>
      </c>
      <c r="X144" t="b">
        <f t="shared" si="65"/>
        <v>0</v>
      </c>
      <c r="Y144" t="b">
        <f t="shared" si="65"/>
        <v>0</v>
      </c>
    </row>
    <row r="145" spans="2:25" ht="13">
      <c r="B145" s="19" t="b">
        <f>_xlfn.XOR(B140,B137)</f>
        <v>0</v>
      </c>
      <c r="C145" s="19" t="b">
        <f>_xlfn.XOR(C140,C137)</f>
        <v>0</v>
      </c>
      <c r="D145" s="19" t="b">
        <f>_xlfn.XOR(D140,D137)</f>
        <v>1</v>
      </c>
      <c r="E145" s="18"/>
      <c r="F145" s="18"/>
      <c r="G145" s="19" t="b">
        <f>OR(J148:J150)</f>
        <v>0</v>
      </c>
      <c r="H145" s="18"/>
      <c r="I145" s="19" t="b">
        <f>_xlfn.XOR($G$14,I140)</f>
        <v>1</v>
      </c>
      <c r="J145" s="19" t="b">
        <f>_xlfn.XOR($G$15,J140)</f>
        <v>0</v>
      </c>
      <c r="K145" s="18"/>
      <c r="L145">
        <f t="shared" si="62"/>
        <v>0</v>
      </c>
      <c r="M145" s="18"/>
      <c r="N145" s="19" t="b">
        <f t="shared" si="63"/>
        <v>0</v>
      </c>
      <c r="O145" s="18"/>
      <c r="P145" s="19" t="b">
        <f>_xlfn.XOR($N$14,P140)</f>
        <v>1</v>
      </c>
      <c r="Q145" s="19" t="b">
        <f>_xlfn.XOR($N$15,Q140)</f>
        <v>0</v>
      </c>
      <c r="R145" s="19" t="b">
        <f>_xlfn.XOR($N$16,R140)</f>
        <v>0</v>
      </c>
      <c r="S145" s="18"/>
      <c r="T145" s="18"/>
      <c r="U145" s="5">
        <f t="shared" si="64"/>
        <v>1</v>
      </c>
      <c r="V145" s="18"/>
      <c r="W145" s="19" t="b">
        <f t="shared" si="65"/>
        <v>0</v>
      </c>
      <c r="X145" t="b">
        <f t="shared" si="65"/>
        <v>1</v>
      </c>
      <c r="Y145" t="b">
        <f t="shared" si="65"/>
        <v>1</v>
      </c>
    </row>
    <row r="146" spans="2:25" ht="13">
      <c r="B146" s="18"/>
      <c r="C146" s="18"/>
      <c r="D146" s="18"/>
      <c r="E146" s="18"/>
      <c r="F146" s="18"/>
      <c r="G146" s="18"/>
      <c r="H146" s="18"/>
      <c r="I146" s="19" t="b">
        <f>_xlfn.XOR($G$14,I141)</f>
        <v>1</v>
      </c>
      <c r="J146" s="19" t="b">
        <f>_xlfn.XOR($G$15,J141)</f>
        <v>0</v>
      </c>
      <c r="K146" s="18"/>
      <c r="L146">
        <f t="shared" si="62"/>
        <v>0</v>
      </c>
      <c r="M146" s="18"/>
      <c r="N146" s="19" t="b">
        <f t="shared" si="63"/>
        <v>0</v>
      </c>
      <c r="O146" s="18"/>
      <c r="P146" s="19" t="b">
        <f>_xlfn.XOR($N$14,P141)</f>
        <v>0</v>
      </c>
      <c r="Q146" s="19" t="b">
        <f>_xlfn.XOR($N$15,Q141)</f>
        <v>0</v>
      </c>
      <c r="R146" s="19" t="b">
        <f>_xlfn.XOR($N$16,R141)</f>
        <v>0</v>
      </c>
      <c r="S146" s="18"/>
      <c r="T146" s="18"/>
      <c r="U146" s="5">
        <f t="shared" si="64"/>
        <v>0</v>
      </c>
      <c r="V146" s="18"/>
      <c r="W146" s="19" t="b">
        <f t="shared" si="65"/>
        <v>0</v>
      </c>
      <c r="X146" t="b">
        <f t="shared" si="65"/>
        <v>0</v>
      </c>
      <c r="Y146" t="b">
        <f t="shared" si="65"/>
        <v>0</v>
      </c>
    </row>
    <row r="147" spans="2:25" ht="13">
      <c r="B147" s="18" t="s">
        <v>149</v>
      </c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9" t="b">
        <f>_xlfn.XOR($N$14,P142)</f>
        <v>0</v>
      </c>
      <c r="Q147" s="19" t="b">
        <f>_xlfn.XOR($N$15,Q142)</f>
        <v>0</v>
      </c>
      <c r="R147" s="19" t="b">
        <f>_xlfn.XOR($N$16,R142)</f>
        <v>0</v>
      </c>
      <c r="S147" s="18"/>
      <c r="T147" s="18"/>
      <c r="U147" s="5">
        <f t="shared" si="64"/>
        <v>0</v>
      </c>
      <c r="V147" s="18"/>
      <c r="W147" s="19" t="b">
        <f t="shared" si="65"/>
        <v>0</v>
      </c>
      <c r="X147" t="b">
        <f t="shared" si="65"/>
        <v>0</v>
      </c>
      <c r="Y147" t="b">
        <f t="shared" si="65"/>
        <v>0</v>
      </c>
    </row>
    <row r="148" spans="2:25" ht="13">
      <c r="B148" s="19" t="b">
        <f t="shared" ref="B148:D149" si="66">AND($G144,(_xlfn.XOR(B144,NOT($G139))))</f>
        <v>0</v>
      </c>
      <c r="C148" s="19" t="b">
        <f t="shared" si="66"/>
        <v>0</v>
      </c>
      <c r="D148" s="19" t="b">
        <f t="shared" si="66"/>
        <v>0</v>
      </c>
      <c r="E148" s="18"/>
      <c r="F148" s="18"/>
      <c r="G148" s="18"/>
      <c r="H148" s="18" t="s">
        <v>144</v>
      </c>
      <c r="I148" s="19" t="b">
        <f t="shared" ref="I148:J150" si="67">AND($N144,(_xlfn.XOR(I144,NOT($N139))))</f>
        <v>0</v>
      </c>
      <c r="J148" s="19" t="b">
        <f t="shared" si="67"/>
        <v>0</v>
      </c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</row>
    <row r="149" spans="2:25" ht="13">
      <c r="B149" s="19" t="b">
        <f t="shared" si="66"/>
        <v>0</v>
      </c>
      <c r="C149" s="19" t="b">
        <f t="shared" si="66"/>
        <v>0</v>
      </c>
      <c r="D149" s="19" t="b">
        <f t="shared" si="66"/>
        <v>0</v>
      </c>
      <c r="E149" s="18"/>
      <c r="F149" s="18"/>
      <c r="G149" s="18"/>
      <c r="H149" s="18"/>
      <c r="I149" s="19" t="b">
        <f t="shared" si="67"/>
        <v>0</v>
      </c>
      <c r="J149" s="19" t="b">
        <f t="shared" si="67"/>
        <v>0</v>
      </c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</row>
    <row r="150" spans="2:25" ht="13">
      <c r="B150" s="18"/>
      <c r="C150" s="18"/>
      <c r="D150" s="18"/>
      <c r="E150" s="18"/>
      <c r="F150" s="18"/>
      <c r="G150" s="18"/>
      <c r="H150" s="18"/>
      <c r="I150" s="19" t="b">
        <f t="shared" si="67"/>
        <v>0</v>
      </c>
      <c r="J150" s="19" t="b">
        <f t="shared" si="67"/>
        <v>0</v>
      </c>
      <c r="K150" s="18"/>
      <c r="L150" s="20" t="s">
        <v>156</v>
      </c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</row>
    <row r="152" spans="2:25" ht="13">
      <c r="B152" s="4">
        <v>0</v>
      </c>
      <c r="C152" s="4">
        <v>1</v>
      </c>
      <c r="D152" s="4">
        <v>0</v>
      </c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</row>
    <row r="153" spans="2:25" ht="13">
      <c r="B153" s="37" t="s">
        <v>25</v>
      </c>
      <c r="C153" s="38"/>
      <c r="D153" s="38"/>
      <c r="E153" s="18" t="s">
        <v>24</v>
      </c>
      <c r="F153" s="18"/>
      <c r="G153" s="18" t="s">
        <v>127</v>
      </c>
      <c r="H153" s="18"/>
      <c r="I153" s="37" t="s">
        <v>23</v>
      </c>
      <c r="J153" s="38"/>
      <c r="K153" s="38"/>
      <c r="L153" s="18" t="s">
        <v>22</v>
      </c>
      <c r="M153" s="18"/>
      <c r="N153" s="18" t="s">
        <v>128</v>
      </c>
      <c r="O153" s="18"/>
      <c r="P153" s="37" t="s">
        <v>36</v>
      </c>
      <c r="Q153" s="38"/>
      <c r="R153" s="38"/>
      <c r="S153" s="18" t="s">
        <v>35</v>
      </c>
      <c r="T153" s="18"/>
      <c r="U153" s="18" t="s">
        <v>129</v>
      </c>
      <c r="V153" s="18" t="s">
        <v>130</v>
      </c>
      <c r="W153" s="18" t="s">
        <v>95</v>
      </c>
    </row>
    <row r="154" spans="2:25" ht="13">
      <c r="B154" s="5">
        <v>1</v>
      </c>
      <c r="C154" s="5">
        <v>0</v>
      </c>
      <c r="D154" s="5">
        <v>0</v>
      </c>
      <c r="E154" s="5">
        <v>2</v>
      </c>
      <c r="F154" s="18"/>
      <c r="G154" s="19" t="b">
        <f t="shared" ref="G154:G155" si="68">COUNTIF(B159:D159, TRUE)&gt;=E154</f>
        <v>1</v>
      </c>
      <c r="H154" s="18"/>
      <c r="I154" s="5">
        <v>1</v>
      </c>
      <c r="J154" s="5">
        <v>0</v>
      </c>
      <c r="K154" s="18"/>
      <c r="L154" s="5">
        <v>1</v>
      </c>
      <c r="M154" s="18"/>
      <c r="N154" s="19" t="b">
        <f t="shared" ref="N154:N156" si="69">COUNTIF(I159:J159, TRUE)&gt;=L154</f>
        <v>1</v>
      </c>
      <c r="O154" s="18"/>
      <c r="P154" s="5">
        <v>0</v>
      </c>
      <c r="Q154" s="5">
        <v>0</v>
      </c>
      <c r="R154" s="5">
        <v>0</v>
      </c>
      <c r="S154" s="5">
        <v>3</v>
      </c>
      <c r="T154" s="18"/>
      <c r="U154" s="19" t="b">
        <f t="shared" ref="U154:U157" si="70">COUNTIF(P159:R159, TRUE)&gt;=S154</f>
        <v>0</v>
      </c>
      <c r="V154" s="5">
        <v>0</v>
      </c>
      <c r="W154" s="19" t="b">
        <f>_xlfn.XOR(V154,U154)</f>
        <v>0</v>
      </c>
    </row>
    <row r="155" spans="2:25" ht="13">
      <c r="B155" s="5">
        <v>0</v>
      </c>
      <c r="C155" s="5">
        <v>0</v>
      </c>
      <c r="D155" s="5">
        <v>0</v>
      </c>
      <c r="E155" s="5">
        <v>3</v>
      </c>
      <c r="F155" s="18"/>
      <c r="G155" s="19" t="b">
        <f t="shared" si="68"/>
        <v>0</v>
      </c>
      <c r="H155" s="18"/>
      <c r="I155" s="5">
        <v>1</v>
      </c>
      <c r="J155" s="5">
        <v>0</v>
      </c>
      <c r="K155" s="18"/>
      <c r="L155" s="5">
        <f>L140+L145</f>
        <v>1</v>
      </c>
      <c r="M155" s="18"/>
      <c r="N155" s="19" t="b">
        <f t="shared" si="69"/>
        <v>1</v>
      </c>
      <c r="O155" s="18"/>
      <c r="P155" s="5">
        <v>1</v>
      </c>
      <c r="Q155" s="5">
        <v>0</v>
      </c>
      <c r="R155" s="5">
        <v>0</v>
      </c>
      <c r="S155" s="5">
        <v>3</v>
      </c>
      <c r="T155" s="18"/>
      <c r="U155" s="19" t="b">
        <f t="shared" si="70"/>
        <v>0</v>
      </c>
      <c r="V155" s="4">
        <v>1</v>
      </c>
      <c r="W155" s="19" t="b">
        <f>_xlfn.XOR(V155,U155)</f>
        <v>1</v>
      </c>
    </row>
    <row r="156" spans="2:25" ht="13">
      <c r="B156" s="18"/>
      <c r="C156" s="18"/>
      <c r="D156" s="18"/>
      <c r="E156" s="18"/>
      <c r="F156" s="18"/>
      <c r="G156" s="18"/>
      <c r="H156" s="18"/>
      <c r="I156" s="5">
        <v>1</v>
      </c>
      <c r="J156" s="5">
        <v>0</v>
      </c>
      <c r="K156" s="18"/>
      <c r="L156" s="5">
        <v>2</v>
      </c>
      <c r="M156" s="18"/>
      <c r="N156" s="19" t="b">
        <f t="shared" si="69"/>
        <v>0</v>
      </c>
      <c r="O156" s="18"/>
      <c r="P156" s="5">
        <v>0</v>
      </c>
      <c r="Q156" s="5">
        <v>0</v>
      </c>
      <c r="R156" s="5">
        <v>0</v>
      </c>
      <c r="S156" s="5">
        <v>3</v>
      </c>
      <c r="T156" s="18"/>
      <c r="U156" s="19" t="b">
        <f t="shared" si="70"/>
        <v>0</v>
      </c>
      <c r="V156" s="4">
        <v>1</v>
      </c>
      <c r="W156" s="19" t="b">
        <f>_xlfn.XOR(V156,U156)</f>
        <v>1</v>
      </c>
    </row>
    <row r="157" spans="2:25" ht="13"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5">
        <v>0</v>
      </c>
      <c r="Q157" s="5">
        <v>0</v>
      </c>
      <c r="R157" s="5">
        <v>0</v>
      </c>
      <c r="S157" s="5">
        <v>3</v>
      </c>
      <c r="T157" s="18"/>
      <c r="U157" s="19" t="b">
        <f t="shared" si="70"/>
        <v>0</v>
      </c>
      <c r="V157" s="4">
        <v>1</v>
      </c>
      <c r="W157" s="19" t="b">
        <f>_xlfn.XOR(V157,U157)</f>
        <v>1</v>
      </c>
    </row>
    <row r="158" spans="2:25" ht="13">
      <c r="B158" s="18"/>
      <c r="C158" s="18"/>
      <c r="D158" s="18"/>
      <c r="E158" s="1" t="s">
        <v>146</v>
      </c>
      <c r="F158" s="18"/>
      <c r="G158" s="18" t="s">
        <v>55</v>
      </c>
      <c r="H158" s="18"/>
      <c r="I158" s="18"/>
      <c r="J158" s="18"/>
      <c r="K158" s="18"/>
      <c r="L158" s="1" t="s">
        <v>141</v>
      </c>
      <c r="M158" s="18"/>
      <c r="N158" s="18" t="s">
        <v>142</v>
      </c>
      <c r="O158" s="18"/>
      <c r="P158" s="18"/>
      <c r="Q158" s="18"/>
      <c r="R158" s="18"/>
      <c r="S158" s="18"/>
      <c r="T158" s="18"/>
      <c r="U158" s="18" t="s">
        <v>133</v>
      </c>
      <c r="V158" s="18"/>
      <c r="W158" s="18" t="s">
        <v>138</v>
      </c>
    </row>
    <row r="159" spans="2:25" ht="13">
      <c r="B159" s="19" t="b">
        <f>_xlfn.XOR(B154,B152)</f>
        <v>1</v>
      </c>
      <c r="C159" s="19" t="b">
        <f>_xlfn.XOR(C154,C152)</f>
        <v>1</v>
      </c>
      <c r="D159" s="19" t="b">
        <f>_xlfn.XOR(D154,D152)</f>
        <v>0</v>
      </c>
      <c r="E159">
        <f t="shared" ref="E159:E160" si="71">IF(G159,IF(G154,1,-1),0)</f>
        <v>1</v>
      </c>
      <c r="F159" s="18"/>
      <c r="G159" s="19" t="b">
        <f>OR(I163:I165)</f>
        <v>1</v>
      </c>
      <c r="H159" s="18"/>
      <c r="I159" s="19" t="b">
        <f>_xlfn.XOR($G$14,I154)</f>
        <v>1</v>
      </c>
      <c r="J159" s="19" t="b">
        <f>_xlfn.XOR($G$15,J154)</f>
        <v>0</v>
      </c>
      <c r="K159" s="18"/>
      <c r="L159">
        <f t="shared" ref="L159:L161" si="72">IF(N159,IF(N154,1,-1),0)</f>
        <v>1</v>
      </c>
      <c r="M159" s="18"/>
      <c r="N159" s="19" t="b">
        <f t="shared" ref="N159:N161" si="73">OR(W159:W162)</f>
        <v>1</v>
      </c>
      <c r="O159" s="18"/>
      <c r="P159" s="19" t="b">
        <f>_xlfn.XOR($N$14,P154)</f>
        <v>0</v>
      </c>
      <c r="Q159" s="19" t="b">
        <f>_xlfn.XOR($N$15,Q154)</f>
        <v>0</v>
      </c>
      <c r="R159" s="19" t="b">
        <f>_xlfn.XOR($N$16,R154)</f>
        <v>0</v>
      </c>
      <c r="S159" s="18"/>
      <c r="T159" s="18"/>
      <c r="U159" s="5">
        <f t="shared" ref="U159:U162" si="74">IF(W154,IF(V154,1,-1),0)</f>
        <v>0</v>
      </c>
      <c r="V159" s="18"/>
      <c r="W159" s="19" t="b">
        <f t="shared" ref="W159:Y162" si="75">AND($W154,(_xlfn.XOR(P159,NOT($U154))))</f>
        <v>0</v>
      </c>
      <c r="X159" t="b">
        <f t="shared" si="75"/>
        <v>0</v>
      </c>
      <c r="Y159" t="b">
        <f t="shared" si="75"/>
        <v>0</v>
      </c>
    </row>
    <row r="160" spans="2:25" ht="13">
      <c r="B160" s="19" t="b">
        <f>_xlfn.XOR(B155,B152)</f>
        <v>0</v>
      </c>
      <c r="C160" s="19" t="b">
        <f>_xlfn.XOR(C155,C152)</f>
        <v>1</v>
      </c>
      <c r="D160" s="19" t="b">
        <f>_xlfn.XOR(D155,D152)</f>
        <v>0</v>
      </c>
      <c r="E160">
        <f t="shared" si="71"/>
        <v>-1</v>
      </c>
      <c r="F160" s="18"/>
      <c r="G160" s="19" t="b">
        <f>OR(J163:J165)</f>
        <v>1</v>
      </c>
      <c r="H160" s="18"/>
      <c r="I160" s="19" t="b">
        <f>_xlfn.XOR($G$14,I155)</f>
        <v>1</v>
      </c>
      <c r="J160" s="19" t="b">
        <f>_xlfn.XOR($G$15,J155)</f>
        <v>0</v>
      </c>
      <c r="K160" s="18"/>
      <c r="L160">
        <f t="shared" si="72"/>
        <v>1</v>
      </c>
      <c r="M160" s="18"/>
      <c r="N160" s="19" t="b">
        <f t="shared" si="73"/>
        <v>1</v>
      </c>
      <c r="O160" s="18"/>
      <c r="P160" s="19" t="b">
        <f>_xlfn.XOR($N$14,P155)</f>
        <v>1</v>
      </c>
      <c r="Q160" s="19" t="b">
        <f>_xlfn.XOR($N$15,Q155)</f>
        <v>0</v>
      </c>
      <c r="R160" s="19" t="b">
        <f>_xlfn.XOR($N$16,R155)</f>
        <v>0</v>
      </c>
      <c r="S160" s="18"/>
      <c r="T160" s="18"/>
      <c r="U160" s="5">
        <f t="shared" si="74"/>
        <v>1</v>
      </c>
      <c r="V160" s="18"/>
      <c r="W160" s="19" t="b">
        <f t="shared" si="75"/>
        <v>0</v>
      </c>
      <c r="X160" t="b">
        <f t="shared" si="75"/>
        <v>1</v>
      </c>
      <c r="Y160" t="b">
        <f t="shared" si="75"/>
        <v>1</v>
      </c>
    </row>
    <row r="161" spans="2:25" ht="13">
      <c r="B161" s="18"/>
      <c r="C161" s="18"/>
      <c r="D161" s="18"/>
      <c r="E161" s="18"/>
      <c r="F161" s="18"/>
      <c r="G161" s="18"/>
      <c r="H161" s="18"/>
      <c r="I161" s="19" t="b">
        <f>_xlfn.XOR($G$14,I156)</f>
        <v>1</v>
      </c>
      <c r="J161" s="19" t="b">
        <f>_xlfn.XOR($G$15,J156)</f>
        <v>0</v>
      </c>
      <c r="K161" s="18"/>
      <c r="L161">
        <f t="shared" si="72"/>
        <v>-1</v>
      </c>
      <c r="M161" s="18"/>
      <c r="N161" s="19" t="b">
        <f t="shared" si="73"/>
        <v>1</v>
      </c>
      <c r="O161" s="18"/>
      <c r="P161" s="19" t="b">
        <f>_xlfn.XOR($N$14,P156)</f>
        <v>0</v>
      </c>
      <c r="Q161" s="19" t="b">
        <f>_xlfn.XOR($N$15,Q156)</f>
        <v>0</v>
      </c>
      <c r="R161" s="19" t="b">
        <f>_xlfn.XOR($N$16,R156)</f>
        <v>0</v>
      </c>
      <c r="S161" s="18"/>
      <c r="T161" s="18"/>
      <c r="U161" s="5">
        <f t="shared" si="74"/>
        <v>1</v>
      </c>
      <c r="V161" s="18"/>
      <c r="W161" s="19" t="b">
        <f t="shared" si="75"/>
        <v>1</v>
      </c>
      <c r="X161" t="b">
        <f t="shared" si="75"/>
        <v>1</v>
      </c>
      <c r="Y161" t="b">
        <f t="shared" si="75"/>
        <v>1</v>
      </c>
    </row>
    <row r="162" spans="2:25" ht="13">
      <c r="B162" s="18" t="s">
        <v>149</v>
      </c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9" t="b">
        <f>_xlfn.XOR($N$14,P157)</f>
        <v>0</v>
      </c>
      <c r="Q162" s="19" t="b">
        <f>_xlfn.XOR($N$15,Q157)</f>
        <v>0</v>
      </c>
      <c r="R162" s="19" t="b">
        <f>_xlfn.XOR($N$16,R157)</f>
        <v>0</v>
      </c>
      <c r="S162" s="18"/>
      <c r="T162" s="18"/>
      <c r="U162" s="5">
        <f t="shared" si="74"/>
        <v>1</v>
      </c>
      <c r="V162" s="18"/>
      <c r="W162" s="19" t="b">
        <f t="shared" si="75"/>
        <v>1</v>
      </c>
      <c r="X162" t="b">
        <f t="shared" si="75"/>
        <v>1</v>
      </c>
      <c r="Y162" t="b">
        <f t="shared" si="75"/>
        <v>1</v>
      </c>
    </row>
    <row r="163" spans="2:25" ht="13">
      <c r="B163" s="19" t="b">
        <f t="shared" ref="B163:D164" si="76">AND($G159,(_xlfn.XOR(B159,NOT($G154))))</f>
        <v>1</v>
      </c>
      <c r="C163" s="19" t="b">
        <f t="shared" si="76"/>
        <v>1</v>
      </c>
      <c r="D163" s="19" t="b">
        <f t="shared" si="76"/>
        <v>0</v>
      </c>
      <c r="E163" s="18"/>
      <c r="F163" s="18"/>
      <c r="G163" s="18"/>
      <c r="H163" s="18" t="s">
        <v>144</v>
      </c>
      <c r="I163" s="19" t="b">
        <f t="shared" ref="I163:J165" si="77">AND($N159,(_xlfn.XOR(I159,NOT($N154))))</f>
        <v>1</v>
      </c>
      <c r="J163" s="19" t="b">
        <f t="shared" si="77"/>
        <v>0</v>
      </c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</row>
    <row r="164" spans="2:25" ht="13">
      <c r="B164" s="19" t="b">
        <f t="shared" si="76"/>
        <v>1</v>
      </c>
      <c r="C164" s="19" t="b">
        <f t="shared" si="76"/>
        <v>0</v>
      </c>
      <c r="D164" s="19" t="b">
        <f t="shared" si="76"/>
        <v>1</v>
      </c>
      <c r="E164" s="1" t="s">
        <v>158</v>
      </c>
      <c r="F164" s="18"/>
      <c r="G164" s="18"/>
      <c r="H164" s="18"/>
      <c r="I164" s="19" t="b">
        <f t="shared" si="77"/>
        <v>1</v>
      </c>
      <c r="J164" s="19" t="b">
        <f t="shared" si="77"/>
        <v>0</v>
      </c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</row>
    <row r="165" spans="2:25" ht="13">
      <c r="B165" s="18"/>
      <c r="C165" s="18"/>
      <c r="D165" s="18"/>
      <c r="E165" s="18"/>
      <c r="F165" s="18"/>
      <c r="G165" s="18"/>
      <c r="H165" s="18"/>
      <c r="I165" s="19" t="b">
        <f t="shared" si="77"/>
        <v>0</v>
      </c>
      <c r="J165" s="19" t="b">
        <f t="shared" si="77"/>
        <v>1</v>
      </c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</row>
    <row r="167" spans="2:25" ht="13">
      <c r="B167" s="4">
        <v>0</v>
      </c>
      <c r="C167" s="4">
        <v>1</v>
      </c>
      <c r="D167" s="4">
        <v>1</v>
      </c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</row>
    <row r="168" spans="2:25" ht="13">
      <c r="B168" s="37" t="s">
        <v>25</v>
      </c>
      <c r="C168" s="38"/>
      <c r="D168" s="38"/>
      <c r="E168" s="18" t="s">
        <v>24</v>
      </c>
      <c r="F168" s="18"/>
      <c r="G168" s="18" t="s">
        <v>127</v>
      </c>
      <c r="H168" s="18"/>
      <c r="I168" s="37" t="s">
        <v>23</v>
      </c>
      <c r="J168" s="38"/>
      <c r="K168" s="38"/>
      <c r="L168" s="18" t="s">
        <v>22</v>
      </c>
      <c r="M168" s="18"/>
      <c r="N168" s="18" t="s">
        <v>128</v>
      </c>
      <c r="O168" s="18"/>
      <c r="P168" s="37" t="s">
        <v>36</v>
      </c>
      <c r="Q168" s="38"/>
      <c r="R168" s="38"/>
      <c r="S168" s="18" t="s">
        <v>35</v>
      </c>
      <c r="T168" s="18"/>
      <c r="U168" s="18" t="s">
        <v>129</v>
      </c>
      <c r="V168" s="18" t="s">
        <v>130</v>
      </c>
      <c r="W168" s="18" t="s">
        <v>95</v>
      </c>
    </row>
    <row r="169" spans="2:25" ht="13">
      <c r="B169" s="5">
        <v>1</v>
      </c>
      <c r="C169" s="5">
        <v>0</v>
      </c>
      <c r="D169" s="5">
        <v>0</v>
      </c>
      <c r="E169" s="5">
        <v>2</v>
      </c>
      <c r="F169" s="18"/>
      <c r="G169" s="19" t="b">
        <f t="shared" ref="G169:G170" si="78">COUNTIF(B174:D174, TRUE)&gt;=E169</f>
        <v>1</v>
      </c>
      <c r="H169" s="18"/>
      <c r="I169" s="5">
        <v>1</v>
      </c>
      <c r="J169" s="5">
        <v>0</v>
      </c>
      <c r="K169" s="18"/>
      <c r="L169" s="5">
        <v>1</v>
      </c>
      <c r="M169" s="18"/>
      <c r="N169" s="19" t="b">
        <f t="shared" ref="N169:N171" si="79">COUNTIF(I174:J174, TRUE)&gt;=L169</f>
        <v>1</v>
      </c>
      <c r="O169" s="18"/>
      <c r="P169" s="5">
        <v>0</v>
      </c>
      <c r="Q169" s="5">
        <v>0</v>
      </c>
      <c r="R169" s="5">
        <v>0</v>
      </c>
      <c r="S169" s="5">
        <v>3</v>
      </c>
      <c r="T169" s="18"/>
      <c r="U169" s="19" t="b">
        <f t="shared" ref="U169:U172" si="80">COUNTIF(P174:R174, TRUE)&gt;=S169</f>
        <v>0</v>
      </c>
      <c r="V169" s="4">
        <v>1</v>
      </c>
      <c r="W169" s="19" t="b">
        <f>_xlfn.XOR(V169,U169)</f>
        <v>1</v>
      </c>
    </row>
    <row r="170" spans="2:25" ht="13">
      <c r="B170" s="5">
        <v>0</v>
      </c>
      <c r="C170" s="5">
        <v>0</v>
      </c>
      <c r="D170" s="5">
        <v>0</v>
      </c>
      <c r="E170" s="4">
        <v>2</v>
      </c>
      <c r="F170" s="18"/>
      <c r="G170" s="19" t="b">
        <f t="shared" si="78"/>
        <v>1</v>
      </c>
      <c r="H170" s="18"/>
      <c r="I170" s="5">
        <v>1</v>
      </c>
      <c r="J170" s="5">
        <v>0</v>
      </c>
      <c r="K170" s="18"/>
      <c r="L170" s="5">
        <f>L155+L160</f>
        <v>2</v>
      </c>
      <c r="M170" s="18"/>
      <c r="N170" s="19" t="b">
        <f t="shared" si="79"/>
        <v>0</v>
      </c>
      <c r="O170" s="18"/>
      <c r="P170" s="5">
        <v>1</v>
      </c>
      <c r="Q170" s="5">
        <v>0</v>
      </c>
      <c r="R170" s="5">
        <v>0</v>
      </c>
      <c r="S170" s="5">
        <v>3</v>
      </c>
      <c r="T170" s="18"/>
      <c r="U170" s="19" t="b">
        <f t="shared" si="80"/>
        <v>0</v>
      </c>
      <c r="V170" s="4">
        <v>1</v>
      </c>
      <c r="W170" s="19" t="b">
        <f>_xlfn.XOR(V170,U170)</f>
        <v>1</v>
      </c>
    </row>
    <row r="171" spans="2:25" ht="13">
      <c r="B171" s="18"/>
      <c r="C171" s="18"/>
      <c r="D171" s="18"/>
      <c r="E171" s="18"/>
      <c r="F171" s="18"/>
      <c r="G171" s="18"/>
      <c r="H171" s="18"/>
      <c r="I171" s="5">
        <v>1</v>
      </c>
      <c r="J171" s="5">
        <v>0</v>
      </c>
      <c r="K171" s="18"/>
      <c r="L171" s="5">
        <v>2</v>
      </c>
      <c r="M171" s="18"/>
      <c r="N171" s="19" t="b">
        <f t="shared" si="79"/>
        <v>0</v>
      </c>
      <c r="O171" s="18"/>
      <c r="P171" s="5">
        <v>0</v>
      </c>
      <c r="Q171" s="5">
        <v>0</v>
      </c>
      <c r="R171" s="5">
        <v>0</v>
      </c>
      <c r="S171" s="5">
        <v>3</v>
      </c>
      <c r="T171" s="18"/>
      <c r="U171" s="19" t="b">
        <f t="shared" si="80"/>
        <v>0</v>
      </c>
      <c r="V171" s="4">
        <v>1</v>
      </c>
      <c r="W171" s="19" t="b">
        <f>_xlfn.XOR(V171,U171)</f>
        <v>1</v>
      </c>
    </row>
    <row r="172" spans="2:25" ht="13"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5">
        <v>0</v>
      </c>
      <c r="Q172" s="5">
        <v>0</v>
      </c>
      <c r="R172" s="5">
        <v>0</v>
      </c>
      <c r="S172" s="5">
        <v>3</v>
      </c>
      <c r="T172" s="18"/>
      <c r="U172" s="19" t="b">
        <f t="shared" si="80"/>
        <v>0</v>
      </c>
      <c r="V172" s="4">
        <v>0</v>
      </c>
      <c r="W172" s="19" t="b">
        <f>_xlfn.XOR(V172,U172)</f>
        <v>0</v>
      </c>
    </row>
    <row r="173" spans="2:25" ht="13">
      <c r="B173" s="18"/>
      <c r="C173" s="18"/>
      <c r="D173" s="18"/>
      <c r="E173" s="1" t="s">
        <v>146</v>
      </c>
      <c r="F173" s="18"/>
      <c r="G173" s="18" t="s">
        <v>55</v>
      </c>
      <c r="H173" s="18"/>
      <c r="I173" s="18"/>
      <c r="J173" s="18"/>
      <c r="K173" s="18"/>
      <c r="L173" s="1" t="s">
        <v>141</v>
      </c>
      <c r="M173" s="18"/>
      <c r="N173" s="18" t="s">
        <v>142</v>
      </c>
      <c r="O173" s="18"/>
      <c r="P173" s="18"/>
      <c r="Q173" s="18"/>
      <c r="R173" s="18"/>
      <c r="S173" s="18"/>
      <c r="T173" s="18"/>
      <c r="U173" s="18" t="s">
        <v>133</v>
      </c>
      <c r="V173" s="18"/>
      <c r="W173" s="18" t="s">
        <v>138</v>
      </c>
    </row>
    <row r="174" spans="2:25" ht="13">
      <c r="B174" s="19" t="b">
        <f>_xlfn.XOR(B169,B167)</f>
        <v>1</v>
      </c>
      <c r="C174" s="19" t="b">
        <f>_xlfn.XOR(C169,C167)</f>
        <v>1</v>
      </c>
      <c r="D174" s="19" t="b">
        <f>_xlfn.XOR(D169,D167)</f>
        <v>1</v>
      </c>
      <c r="E174">
        <f t="shared" ref="E174:E175" si="81">IF(G174,IF(G169,1,-1),0)</f>
        <v>1</v>
      </c>
      <c r="F174" s="18"/>
      <c r="G174" s="19" t="b">
        <f>OR(I178:I180)</f>
        <v>1</v>
      </c>
      <c r="H174" s="18"/>
      <c r="I174" s="19" t="b">
        <f>_xlfn.XOR($G$14,I169)</f>
        <v>1</v>
      </c>
      <c r="J174" s="19" t="b">
        <f>_xlfn.XOR($G$15,J169)</f>
        <v>0</v>
      </c>
      <c r="K174" s="18"/>
      <c r="L174">
        <f t="shared" ref="L174:L176" si="82">IF(N174,IF(N169,1,-1),0)</f>
        <v>1</v>
      </c>
      <c r="M174" s="18"/>
      <c r="N174" s="19" t="b">
        <f t="shared" ref="N174:N176" si="83">OR(W174:W177)</f>
        <v>1</v>
      </c>
      <c r="O174" s="18"/>
      <c r="P174" s="19" t="b">
        <f>_xlfn.XOR($N$14,P169)</f>
        <v>0</v>
      </c>
      <c r="Q174" s="19" t="b">
        <f>_xlfn.XOR($N$15,Q169)</f>
        <v>0</v>
      </c>
      <c r="R174" s="19" t="b">
        <f>_xlfn.XOR($N$16,R169)</f>
        <v>0</v>
      </c>
      <c r="S174" s="18"/>
      <c r="T174" s="18"/>
      <c r="U174" s="5">
        <f t="shared" ref="U174:U177" si="84">IF(W169,IF(V169,1,-1),0)</f>
        <v>1</v>
      </c>
      <c r="V174" s="18"/>
      <c r="W174" s="19" t="b">
        <f t="shared" ref="W174:Y177" si="85">AND($W169,(_xlfn.XOR(P174,NOT($U169))))</f>
        <v>1</v>
      </c>
      <c r="X174" t="b">
        <f t="shared" si="85"/>
        <v>1</v>
      </c>
      <c r="Y174" t="b">
        <f t="shared" si="85"/>
        <v>1</v>
      </c>
    </row>
    <row r="175" spans="2:25" ht="13">
      <c r="B175" s="19" t="b">
        <f>_xlfn.XOR(B170,B167)</f>
        <v>0</v>
      </c>
      <c r="C175" s="19" t="b">
        <f>_xlfn.XOR(C170,C167)</f>
        <v>1</v>
      </c>
      <c r="D175" s="19" t="b">
        <f>_xlfn.XOR(D170,D167)</f>
        <v>1</v>
      </c>
      <c r="E175">
        <f t="shared" si="81"/>
        <v>1</v>
      </c>
      <c r="F175" s="18"/>
      <c r="G175" s="19" t="b">
        <f>OR(J178:J180)</f>
        <v>1</v>
      </c>
      <c r="H175" s="18"/>
      <c r="I175" s="19" t="b">
        <f>_xlfn.XOR($G$14,I170)</f>
        <v>1</v>
      </c>
      <c r="J175" s="19" t="b">
        <f>_xlfn.XOR($G$15,J170)</f>
        <v>0</v>
      </c>
      <c r="K175" s="18"/>
      <c r="L175">
        <f t="shared" si="82"/>
        <v>-1</v>
      </c>
      <c r="M175" s="18"/>
      <c r="N175" s="19" t="b">
        <f t="shared" si="83"/>
        <v>1</v>
      </c>
      <c r="O175" s="18"/>
      <c r="P175" s="19" t="b">
        <f>_xlfn.XOR($N$14,P170)</f>
        <v>1</v>
      </c>
      <c r="Q175" s="19" t="b">
        <f>_xlfn.XOR($N$15,Q170)</f>
        <v>0</v>
      </c>
      <c r="R175" s="19" t="b">
        <f>_xlfn.XOR($N$16,R170)</f>
        <v>0</v>
      </c>
      <c r="S175" s="18"/>
      <c r="T175" s="18"/>
      <c r="U175" s="5">
        <f t="shared" si="84"/>
        <v>1</v>
      </c>
      <c r="V175" s="18"/>
      <c r="W175" s="19" t="b">
        <f t="shared" si="85"/>
        <v>0</v>
      </c>
      <c r="X175" t="b">
        <f t="shared" si="85"/>
        <v>1</v>
      </c>
      <c r="Y175" t="b">
        <f t="shared" si="85"/>
        <v>1</v>
      </c>
    </row>
    <row r="176" spans="2:25" ht="13">
      <c r="B176" s="18"/>
      <c r="C176" s="18"/>
      <c r="D176" s="18"/>
      <c r="E176" s="18"/>
      <c r="F176" s="18"/>
      <c r="G176" s="18"/>
      <c r="H176" s="18"/>
      <c r="I176" s="19" t="b">
        <f>_xlfn.XOR($G$14,I171)</f>
        <v>1</v>
      </c>
      <c r="J176" s="19" t="b">
        <f>_xlfn.XOR($G$15,J171)</f>
        <v>0</v>
      </c>
      <c r="K176" s="18"/>
      <c r="L176">
        <f t="shared" si="82"/>
        <v>-1</v>
      </c>
      <c r="M176" s="18"/>
      <c r="N176" s="19" t="b">
        <f t="shared" si="83"/>
        <v>1</v>
      </c>
      <c r="O176" s="18"/>
      <c r="P176" s="19" t="b">
        <f>_xlfn.XOR($N$14,P171)</f>
        <v>0</v>
      </c>
      <c r="Q176" s="19" t="b">
        <f>_xlfn.XOR($N$15,Q171)</f>
        <v>0</v>
      </c>
      <c r="R176" s="19" t="b">
        <f>_xlfn.XOR($N$16,R171)</f>
        <v>0</v>
      </c>
      <c r="S176" s="18"/>
      <c r="T176" s="18"/>
      <c r="U176" s="5">
        <f t="shared" si="84"/>
        <v>1</v>
      </c>
      <c r="V176" s="18"/>
      <c r="W176" s="19" t="b">
        <f t="shared" si="85"/>
        <v>1</v>
      </c>
      <c r="X176" t="b">
        <f t="shared" si="85"/>
        <v>1</v>
      </c>
      <c r="Y176" t="b">
        <f t="shared" si="85"/>
        <v>1</v>
      </c>
    </row>
    <row r="177" spans="2:25" ht="13">
      <c r="B177" s="18" t="s">
        <v>149</v>
      </c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9" t="b">
        <f>_xlfn.XOR($N$14,P172)</f>
        <v>0</v>
      </c>
      <c r="Q177" s="19" t="b">
        <f>_xlfn.XOR($N$15,Q172)</f>
        <v>0</v>
      </c>
      <c r="R177" s="19" t="b">
        <f>_xlfn.XOR($N$16,R172)</f>
        <v>0</v>
      </c>
      <c r="S177" s="18"/>
      <c r="T177" s="18"/>
      <c r="U177" s="5">
        <f t="shared" si="84"/>
        <v>0</v>
      </c>
      <c r="V177" s="18"/>
      <c r="W177" s="19" t="b">
        <f t="shared" si="85"/>
        <v>0</v>
      </c>
      <c r="X177" t="b">
        <f t="shared" si="85"/>
        <v>0</v>
      </c>
      <c r="Y177" t="b">
        <f t="shared" si="85"/>
        <v>0</v>
      </c>
    </row>
    <row r="178" spans="2:25" ht="13">
      <c r="B178" s="19" t="b">
        <f t="shared" ref="B178:D179" si="86">AND($G174,(_xlfn.XOR(B174,NOT($G169))))</f>
        <v>1</v>
      </c>
      <c r="C178" s="19" t="b">
        <f t="shared" si="86"/>
        <v>1</v>
      </c>
      <c r="D178" s="19" t="b">
        <f t="shared" si="86"/>
        <v>1</v>
      </c>
      <c r="E178" s="18"/>
      <c r="F178" s="18"/>
      <c r="G178" s="18"/>
      <c r="H178" s="18" t="s">
        <v>144</v>
      </c>
      <c r="I178" s="19" t="b">
        <f t="shared" ref="I178:J180" si="87">AND($N174,(_xlfn.XOR(I174,NOT($N169))))</f>
        <v>1</v>
      </c>
      <c r="J178" s="19" t="b">
        <f t="shared" si="87"/>
        <v>0</v>
      </c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</row>
    <row r="179" spans="2:25" ht="13">
      <c r="B179" s="19" t="b">
        <f t="shared" si="86"/>
        <v>0</v>
      </c>
      <c r="C179" s="19" t="b">
        <f t="shared" si="86"/>
        <v>1</v>
      </c>
      <c r="D179" s="19" t="b">
        <f t="shared" si="86"/>
        <v>1</v>
      </c>
      <c r="E179" s="1" t="s">
        <v>160</v>
      </c>
      <c r="F179" s="18"/>
      <c r="G179" s="18"/>
      <c r="H179" s="18"/>
      <c r="I179" s="19" t="b">
        <f t="shared" si="87"/>
        <v>0</v>
      </c>
      <c r="J179" s="19" t="b">
        <f t="shared" si="87"/>
        <v>1</v>
      </c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</row>
    <row r="180" spans="2:25" ht="13">
      <c r="B180" s="18"/>
      <c r="C180" s="18"/>
      <c r="D180" s="18"/>
      <c r="E180" s="18"/>
      <c r="F180" s="18"/>
      <c r="G180" s="18"/>
      <c r="H180" s="18"/>
      <c r="I180" s="19" t="b">
        <f t="shared" si="87"/>
        <v>0</v>
      </c>
      <c r="J180" s="19" t="b">
        <f t="shared" si="87"/>
        <v>1</v>
      </c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</row>
    <row r="182" spans="2:25" ht="13">
      <c r="B182" s="4">
        <v>1</v>
      </c>
      <c r="C182" s="4">
        <v>0</v>
      </c>
      <c r="D182" s="4">
        <v>0</v>
      </c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</row>
    <row r="183" spans="2:25" ht="13">
      <c r="B183" s="37" t="s">
        <v>25</v>
      </c>
      <c r="C183" s="38"/>
      <c r="D183" s="38"/>
      <c r="E183" s="18" t="s">
        <v>24</v>
      </c>
      <c r="F183" s="18"/>
      <c r="G183" s="18" t="s">
        <v>127</v>
      </c>
      <c r="H183" s="18"/>
      <c r="I183" s="37" t="s">
        <v>23</v>
      </c>
      <c r="J183" s="38"/>
      <c r="K183" s="38"/>
      <c r="L183" s="18" t="s">
        <v>22</v>
      </c>
      <c r="M183" s="18"/>
      <c r="N183" s="18" t="s">
        <v>128</v>
      </c>
      <c r="O183" s="18"/>
      <c r="P183" s="37" t="s">
        <v>36</v>
      </c>
      <c r="Q183" s="38"/>
      <c r="R183" s="38"/>
      <c r="S183" s="18" t="s">
        <v>35</v>
      </c>
      <c r="T183" s="18"/>
      <c r="U183" s="18" t="s">
        <v>129</v>
      </c>
      <c r="V183" s="18" t="s">
        <v>130</v>
      </c>
      <c r="W183" s="18" t="s">
        <v>95</v>
      </c>
    </row>
    <row r="184" spans="2:25" ht="13">
      <c r="B184" s="5">
        <v>1</v>
      </c>
      <c r="C184" s="4">
        <v>1</v>
      </c>
      <c r="D184" s="5">
        <v>0</v>
      </c>
      <c r="E184" s="5">
        <v>2</v>
      </c>
      <c r="F184" s="18"/>
      <c r="G184" s="19" t="b">
        <f t="shared" ref="G184:G185" si="88">COUNTIF(B189:D189, TRUE)&gt;=E184</f>
        <v>0</v>
      </c>
      <c r="H184" s="18"/>
      <c r="I184" s="5">
        <v>1</v>
      </c>
      <c r="J184" s="5">
        <v>0</v>
      </c>
      <c r="K184" s="18"/>
      <c r="L184" s="5">
        <v>1</v>
      </c>
      <c r="M184" s="18"/>
      <c r="N184" s="19" t="b">
        <f t="shared" ref="N184:N186" si="89">COUNTIF(I189:J189, TRUE)&gt;=L184</f>
        <v>1</v>
      </c>
      <c r="O184" s="18"/>
      <c r="P184" s="5">
        <v>0</v>
      </c>
      <c r="Q184" s="5">
        <v>0</v>
      </c>
      <c r="R184" s="5">
        <v>0</v>
      </c>
      <c r="S184" s="5">
        <v>3</v>
      </c>
      <c r="T184" s="18"/>
      <c r="U184" s="19" t="b">
        <f t="shared" ref="U184:U187" si="90">COUNTIF(P189:R189, TRUE)&gt;=S184</f>
        <v>0</v>
      </c>
      <c r="V184" s="4">
        <v>0</v>
      </c>
      <c r="W184" s="19" t="b">
        <f>_xlfn.XOR(V184,U184)</f>
        <v>0</v>
      </c>
    </row>
    <row r="185" spans="2:25" ht="13">
      <c r="B185" s="5">
        <v>0</v>
      </c>
      <c r="C185" s="4">
        <v>1</v>
      </c>
      <c r="D185" s="5">
        <v>0</v>
      </c>
      <c r="E185" s="4">
        <v>2</v>
      </c>
      <c r="F185" s="18"/>
      <c r="G185" s="19" t="b">
        <f t="shared" si="88"/>
        <v>1</v>
      </c>
      <c r="H185" s="18"/>
      <c r="I185" s="5">
        <v>1</v>
      </c>
      <c r="J185" s="5">
        <v>0</v>
      </c>
      <c r="K185" s="18"/>
      <c r="L185" s="5">
        <f>L170+L175</f>
        <v>1</v>
      </c>
      <c r="M185" s="18"/>
      <c r="N185" s="19" t="b">
        <f t="shared" si="89"/>
        <v>1</v>
      </c>
      <c r="O185" s="18"/>
      <c r="P185" s="5">
        <v>1</v>
      </c>
      <c r="Q185" s="5">
        <v>0</v>
      </c>
      <c r="R185" s="5">
        <v>0</v>
      </c>
      <c r="S185" s="5">
        <v>3</v>
      </c>
      <c r="T185" s="18"/>
      <c r="U185" s="19" t="b">
        <f t="shared" si="90"/>
        <v>0</v>
      </c>
      <c r="V185" s="4">
        <v>1</v>
      </c>
      <c r="W185" s="19" t="b">
        <f>_xlfn.XOR(V185,U185)</f>
        <v>1</v>
      </c>
    </row>
    <row r="186" spans="2:25" ht="13">
      <c r="B186" s="18"/>
      <c r="C186" s="18"/>
      <c r="D186" s="18"/>
      <c r="E186" s="18"/>
      <c r="F186" s="18"/>
      <c r="G186" s="18"/>
      <c r="H186" s="18"/>
      <c r="I186" s="5">
        <v>1</v>
      </c>
      <c r="J186" s="5">
        <v>0</v>
      </c>
      <c r="K186" s="18"/>
      <c r="L186" s="5">
        <v>2</v>
      </c>
      <c r="M186" s="18"/>
      <c r="N186" s="19" t="b">
        <f t="shared" si="89"/>
        <v>0</v>
      </c>
      <c r="O186" s="18"/>
      <c r="P186" s="5">
        <v>0</v>
      </c>
      <c r="Q186" s="5">
        <v>0</v>
      </c>
      <c r="R186" s="5">
        <v>0</v>
      </c>
      <c r="S186" s="5">
        <v>3</v>
      </c>
      <c r="T186" s="18"/>
      <c r="U186" s="19" t="b">
        <f t="shared" si="90"/>
        <v>0</v>
      </c>
      <c r="V186" s="4">
        <v>1</v>
      </c>
      <c r="W186" s="19" t="b">
        <f>_xlfn.XOR(V186,U186)</f>
        <v>1</v>
      </c>
    </row>
    <row r="187" spans="2:25" ht="13"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5">
        <v>0</v>
      </c>
      <c r="Q187" s="5">
        <v>0</v>
      </c>
      <c r="R187" s="5">
        <v>0</v>
      </c>
      <c r="S187" s="5">
        <v>3</v>
      </c>
      <c r="T187" s="18"/>
      <c r="U187" s="19" t="b">
        <f t="shared" si="90"/>
        <v>0</v>
      </c>
      <c r="V187" s="4">
        <v>0</v>
      </c>
      <c r="W187" s="19" t="b">
        <f>_xlfn.XOR(V187,U187)</f>
        <v>0</v>
      </c>
    </row>
    <row r="188" spans="2:25" ht="13">
      <c r="B188" s="18"/>
      <c r="C188" s="18"/>
      <c r="D188" s="18"/>
      <c r="E188" s="1" t="s">
        <v>146</v>
      </c>
      <c r="F188" s="18"/>
      <c r="G188" s="18" t="s">
        <v>55</v>
      </c>
      <c r="H188" s="18"/>
      <c r="I188" s="18"/>
      <c r="J188" s="18"/>
      <c r="K188" s="18"/>
      <c r="L188" s="1" t="s">
        <v>141</v>
      </c>
      <c r="M188" s="18"/>
      <c r="N188" s="18" t="s">
        <v>142</v>
      </c>
      <c r="O188" s="18"/>
      <c r="P188" s="18"/>
      <c r="Q188" s="18"/>
      <c r="R188" s="18"/>
      <c r="S188" s="18"/>
      <c r="T188" s="18"/>
      <c r="U188" s="18" t="s">
        <v>133</v>
      </c>
      <c r="V188" s="18"/>
      <c r="W188" s="18" t="s">
        <v>138</v>
      </c>
    </row>
    <row r="189" spans="2:25" ht="13">
      <c r="B189" s="19" t="b">
        <f>_xlfn.XOR(B184,B182)</f>
        <v>0</v>
      </c>
      <c r="C189" s="19" t="b">
        <f>_xlfn.XOR(C184,C182)</f>
        <v>1</v>
      </c>
      <c r="D189" s="19" t="b">
        <f>_xlfn.XOR(D184,D182)</f>
        <v>0</v>
      </c>
      <c r="E189">
        <f t="shared" ref="E189:E190" si="91">IF(G189,IF(G184,1,-1),0)</f>
        <v>-1</v>
      </c>
      <c r="F189" s="18"/>
      <c r="G189" s="19" t="b">
        <f>OR(I193:I195)</f>
        <v>1</v>
      </c>
      <c r="H189" s="18"/>
      <c r="I189" s="19" t="b">
        <f>_xlfn.XOR($G$14,I184)</f>
        <v>1</v>
      </c>
      <c r="J189" s="19" t="b">
        <f>_xlfn.XOR($G$15,J184)</f>
        <v>0</v>
      </c>
      <c r="K189" s="18"/>
      <c r="L189">
        <f t="shared" ref="L189:L191" si="92">IF(N189,IF(N184,1,-1),0)</f>
        <v>1</v>
      </c>
      <c r="M189" s="18"/>
      <c r="N189" s="19" t="b">
        <f t="shared" ref="N189:N191" si="93">OR(W189:W192)</f>
        <v>1</v>
      </c>
      <c r="O189" s="18"/>
      <c r="P189" s="19" t="b">
        <f>_xlfn.XOR($N$14,P184)</f>
        <v>0</v>
      </c>
      <c r="Q189" s="19" t="b">
        <f>_xlfn.XOR($N$15,Q184)</f>
        <v>0</v>
      </c>
      <c r="R189" s="19" t="b">
        <f>_xlfn.XOR($N$16,R184)</f>
        <v>0</v>
      </c>
      <c r="S189" s="18"/>
      <c r="T189" s="18"/>
      <c r="U189" s="5">
        <f t="shared" ref="U189:U192" si="94">IF(W184,IF(V184,1,-1),0)</f>
        <v>0</v>
      </c>
      <c r="V189" s="18"/>
      <c r="W189" s="19" t="b">
        <f t="shared" ref="W189:Y192" si="95">AND($W184,(_xlfn.XOR(P189,NOT($U184))))</f>
        <v>0</v>
      </c>
      <c r="X189" t="b">
        <f t="shared" si="95"/>
        <v>0</v>
      </c>
      <c r="Y189" t="b">
        <f t="shared" si="95"/>
        <v>0</v>
      </c>
    </row>
    <row r="190" spans="2:25" ht="13">
      <c r="B190" s="19" t="b">
        <f>_xlfn.XOR(B185,B182)</f>
        <v>1</v>
      </c>
      <c r="C190" s="19" t="b">
        <f>_xlfn.XOR(C185,C182)</f>
        <v>1</v>
      </c>
      <c r="D190" s="19" t="b">
        <f>_xlfn.XOR(D185,D182)</f>
        <v>0</v>
      </c>
      <c r="E190">
        <f t="shared" si="91"/>
        <v>1</v>
      </c>
      <c r="F190" s="18"/>
      <c r="G190" s="19" t="b">
        <f>OR(J193:J195)</f>
        <v>1</v>
      </c>
      <c r="H190" s="18"/>
      <c r="I190" s="19" t="b">
        <f>_xlfn.XOR($G$14,I185)</f>
        <v>1</v>
      </c>
      <c r="J190" s="19" t="b">
        <f>_xlfn.XOR($G$15,J185)</f>
        <v>0</v>
      </c>
      <c r="K190" s="18"/>
      <c r="L190">
        <f t="shared" si="92"/>
        <v>1</v>
      </c>
      <c r="M190" s="18"/>
      <c r="N190" s="19" t="b">
        <f t="shared" si="93"/>
        <v>1</v>
      </c>
      <c r="O190" s="18"/>
      <c r="P190" s="19" t="b">
        <f>_xlfn.XOR($N$14,P185)</f>
        <v>1</v>
      </c>
      <c r="Q190" s="19" t="b">
        <f>_xlfn.XOR($N$15,Q185)</f>
        <v>0</v>
      </c>
      <c r="R190" s="19" t="b">
        <f>_xlfn.XOR($N$16,R185)</f>
        <v>0</v>
      </c>
      <c r="S190" s="18"/>
      <c r="T190" s="18"/>
      <c r="U190" s="5">
        <f t="shared" si="94"/>
        <v>1</v>
      </c>
      <c r="V190" s="18"/>
      <c r="W190" s="19" t="b">
        <f t="shared" si="95"/>
        <v>0</v>
      </c>
      <c r="X190" t="b">
        <f t="shared" si="95"/>
        <v>1</v>
      </c>
      <c r="Y190" t="b">
        <f t="shared" si="95"/>
        <v>1</v>
      </c>
    </row>
    <row r="191" spans="2:25" ht="13">
      <c r="B191" s="18"/>
      <c r="C191" s="18"/>
      <c r="D191" s="18"/>
      <c r="E191" s="18"/>
      <c r="F191" s="18"/>
      <c r="G191" s="18"/>
      <c r="H191" s="18"/>
      <c r="I191" s="19" t="b">
        <f>_xlfn.XOR($G$14,I186)</f>
        <v>1</v>
      </c>
      <c r="J191" s="19" t="b">
        <f>_xlfn.XOR($G$15,J186)</f>
        <v>0</v>
      </c>
      <c r="K191" s="18"/>
      <c r="L191">
        <f t="shared" si="92"/>
        <v>-1</v>
      </c>
      <c r="M191" s="18"/>
      <c r="N191" s="19" t="b">
        <f t="shared" si="93"/>
        <v>1</v>
      </c>
      <c r="O191" s="18"/>
      <c r="P191" s="19" t="b">
        <f>_xlfn.XOR($N$14,P186)</f>
        <v>0</v>
      </c>
      <c r="Q191" s="19" t="b">
        <f>_xlfn.XOR($N$15,Q186)</f>
        <v>0</v>
      </c>
      <c r="R191" s="19" t="b">
        <f>_xlfn.XOR($N$16,R186)</f>
        <v>0</v>
      </c>
      <c r="S191" s="18"/>
      <c r="T191" s="18"/>
      <c r="U191" s="5">
        <f t="shared" si="94"/>
        <v>1</v>
      </c>
      <c r="V191" s="18"/>
      <c r="W191" s="19" t="b">
        <f t="shared" si="95"/>
        <v>1</v>
      </c>
      <c r="X191" t="b">
        <f t="shared" si="95"/>
        <v>1</v>
      </c>
      <c r="Y191" t="b">
        <f t="shared" si="95"/>
        <v>1</v>
      </c>
    </row>
    <row r="192" spans="2:25" ht="13">
      <c r="B192" s="18" t="s">
        <v>149</v>
      </c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9" t="b">
        <f>_xlfn.XOR($N$14,P187)</f>
        <v>0</v>
      </c>
      <c r="Q192" s="19" t="b">
        <f>_xlfn.XOR($N$15,Q187)</f>
        <v>0</v>
      </c>
      <c r="R192" s="19" t="b">
        <f>_xlfn.XOR($N$16,R187)</f>
        <v>0</v>
      </c>
      <c r="S192" s="18"/>
      <c r="T192" s="18"/>
      <c r="U192" s="5">
        <f t="shared" si="94"/>
        <v>0</v>
      </c>
      <c r="V192" s="18"/>
      <c r="W192" s="19" t="b">
        <f t="shared" si="95"/>
        <v>0</v>
      </c>
      <c r="X192" t="b">
        <f t="shared" si="95"/>
        <v>0</v>
      </c>
      <c r="Y192" t="b">
        <f t="shared" si="95"/>
        <v>0</v>
      </c>
    </row>
    <row r="193" spans="2:25" ht="13">
      <c r="B193" s="19" t="b">
        <f t="shared" ref="B193:D194" si="96">AND($G189,(_xlfn.XOR(B189,NOT($G184))))</f>
        <v>1</v>
      </c>
      <c r="C193" s="19" t="b">
        <f t="shared" si="96"/>
        <v>0</v>
      </c>
      <c r="D193" s="19" t="b">
        <f t="shared" si="96"/>
        <v>1</v>
      </c>
      <c r="E193" s="18"/>
      <c r="F193" s="18"/>
      <c r="G193" s="18"/>
      <c r="H193" s="18" t="s">
        <v>144</v>
      </c>
      <c r="I193" s="19" t="b">
        <f t="shared" ref="I193:J195" si="97">AND($N189,(_xlfn.XOR(I189,NOT($N184))))</f>
        <v>1</v>
      </c>
      <c r="J193" s="19" t="b">
        <f t="shared" si="97"/>
        <v>0</v>
      </c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</row>
    <row r="194" spans="2:25" ht="13">
      <c r="B194" s="19" t="b">
        <f t="shared" si="96"/>
        <v>1</v>
      </c>
      <c r="C194" s="19" t="b">
        <f t="shared" si="96"/>
        <v>1</v>
      </c>
      <c r="D194" s="19" t="b">
        <f t="shared" si="96"/>
        <v>0</v>
      </c>
      <c r="E194" s="18"/>
      <c r="F194" s="18"/>
      <c r="G194" s="18"/>
      <c r="H194" s="18"/>
      <c r="I194" s="19" t="b">
        <f t="shared" si="97"/>
        <v>1</v>
      </c>
      <c r="J194" s="19" t="b">
        <f t="shared" si="97"/>
        <v>0</v>
      </c>
      <c r="K194" s="18"/>
      <c r="L194" s="18"/>
      <c r="M194" s="18"/>
      <c r="N194" s="18"/>
      <c r="O194" s="18"/>
      <c r="P194" s="18"/>
      <c r="Q194" s="18"/>
      <c r="R194" s="18"/>
      <c r="S194" s="18"/>
      <c r="T194" s="1" t="s">
        <v>170</v>
      </c>
      <c r="V194" s="18"/>
      <c r="W194" s="18"/>
    </row>
    <row r="195" spans="2:25" ht="13">
      <c r="B195" s="18"/>
      <c r="C195" s="18"/>
      <c r="D195" s="18"/>
      <c r="E195" s="18"/>
      <c r="F195" s="18"/>
      <c r="G195" s="18"/>
      <c r="H195" s="18"/>
      <c r="I195" s="19" t="b">
        <f t="shared" si="97"/>
        <v>0</v>
      </c>
      <c r="J195" s="19" t="b">
        <f t="shared" si="97"/>
        <v>1</v>
      </c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</row>
    <row r="197" spans="2:25" ht="13">
      <c r="B197" s="4">
        <v>1</v>
      </c>
      <c r="C197" s="4">
        <v>0</v>
      </c>
      <c r="D197" s="4">
        <v>1</v>
      </c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</row>
    <row r="198" spans="2:25" ht="13">
      <c r="B198" s="37" t="s">
        <v>25</v>
      </c>
      <c r="C198" s="38"/>
      <c r="D198" s="38"/>
      <c r="E198" s="18" t="s">
        <v>24</v>
      </c>
      <c r="F198" s="18"/>
      <c r="G198" s="18" t="s">
        <v>127</v>
      </c>
      <c r="H198" s="18"/>
      <c r="I198" s="37" t="s">
        <v>23</v>
      </c>
      <c r="J198" s="38"/>
      <c r="K198" s="38"/>
      <c r="L198" s="18" t="s">
        <v>22</v>
      </c>
      <c r="M198" s="18"/>
      <c r="N198" s="18" t="s">
        <v>128</v>
      </c>
      <c r="O198" s="18"/>
      <c r="P198" s="37" t="s">
        <v>36</v>
      </c>
      <c r="Q198" s="38"/>
      <c r="R198" s="38"/>
      <c r="S198" s="18" t="s">
        <v>35</v>
      </c>
      <c r="T198" s="18"/>
      <c r="U198" s="18" t="s">
        <v>129</v>
      </c>
      <c r="V198" s="18" t="s">
        <v>130</v>
      </c>
      <c r="W198" s="18" t="s">
        <v>95</v>
      </c>
    </row>
    <row r="199" spans="2:25" ht="13">
      <c r="B199" s="5">
        <v>1</v>
      </c>
      <c r="C199" s="4">
        <v>1</v>
      </c>
      <c r="D199" s="5">
        <v>0</v>
      </c>
      <c r="E199" s="5">
        <v>2</v>
      </c>
      <c r="F199" s="18"/>
      <c r="G199" s="19" t="b">
        <f t="shared" ref="G199:G200" si="98">COUNTIF(B204:D204, TRUE)&gt;=E199</f>
        <v>1</v>
      </c>
      <c r="H199" s="18"/>
      <c r="I199" s="5">
        <v>1</v>
      </c>
      <c r="J199" s="5">
        <v>0</v>
      </c>
      <c r="K199" s="18"/>
      <c r="L199" s="5">
        <v>1</v>
      </c>
      <c r="M199" s="18"/>
      <c r="N199" s="19" t="b">
        <f t="shared" ref="N199:N201" si="99">COUNTIF(I204:J204, TRUE)&gt;=L199</f>
        <v>1</v>
      </c>
      <c r="O199" s="18"/>
      <c r="P199" s="5">
        <v>0</v>
      </c>
      <c r="Q199" s="5">
        <v>0</v>
      </c>
      <c r="R199" s="5">
        <v>0</v>
      </c>
      <c r="S199" s="5">
        <v>3</v>
      </c>
      <c r="T199" s="18"/>
      <c r="U199" s="19" t="b">
        <f t="shared" ref="U199:U202" si="100">COUNTIF(P204:R204, TRUE)&gt;=S199</f>
        <v>0</v>
      </c>
      <c r="V199" s="4">
        <v>1</v>
      </c>
      <c r="W199" s="19" t="b">
        <f>_xlfn.XOR(V199,U199)</f>
        <v>1</v>
      </c>
    </row>
    <row r="200" spans="2:25" ht="13">
      <c r="B200" s="5">
        <v>0</v>
      </c>
      <c r="C200" s="4">
        <v>1</v>
      </c>
      <c r="D200" s="4">
        <v>0</v>
      </c>
      <c r="E200" s="4">
        <v>2</v>
      </c>
      <c r="F200" s="18"/>
      <c r="G200" s="19" t="b">
        <f t="shared" si="98"/>
        <v>1</v>
      </c>
      <c r="H200" s="18"/>
      <c r="I200" s="5">
        <v>1</v>
      </c>
      <c r="J200" s="4">
        <v>0</v>
      </c>
      <c r="K200" s="18"/>
      <c r="L200" s="5">
        <f>L185+L190</f>
        <v>2</v>
      </c>
      <c r="M200" s="18"/>
      <c r="N200" s="19" t="b">
        <f t="shared" si="99"/>
        <v>0</v>
      </c>
      <c r="O200" s="18"/>
      <c r="P200" s="5">
        <v>1</v>
      </c>
      <c r="Q200" s="5">
        <v>0</v>
      </c>
      <c r="R200" s="5">
        <v>0</v>
      </c>
      <c r="S200" s="5">
        <v>3</v>
      </c>
      <c r="T200" s="18"/>
      <c r="U200" s="19" t="b">
        <f t="shared" si="100"/>
        <v>0</v>
      </c>
      <c r="V200" s="4">
        <v>0</v>
      </c>
      <c r="W200" s="19" t="b">
        <f>_xlfn.XOR(V200,U200)</f>
        <v>0</v>
      </c>
    </row>
    <row r="201" spans="2:25" ht="13">
      <c r="B201" s="18"/>
      <c r="C201" s="18"/>
      <c r="D201" s="18"/>
      <c r="E201" s="18"/>
      <c r="F201" s="18"/>
      <c r="G201" s="18"/>
      <c r="H201" s="18"/>
      <c r="I201" s="5">
        <v>1</v>
      </c>
      <c r="J201" s="4">
        <v>0</v>
      </c>
      <c r="K201" s="18"/>
      <c r="L201" s="5">
        <v>2</v>
      </c>
      <c r="M201" s="18"/>
      <c r="N201" s="19" t="b">
        <f t="shared" si="99"/>
        <v>0</v>
      </c>
      <c r="O201" s="18"/>
      <c r="P201" s="5">
        <v>0</v>
      </c>
      <c r="Q201" s="5">
        <v>0</v>
      </c>
      <c r="R201" s="5">
        <v>0</v>
      </c>
      <c r="S201" s="5">
        <v>3</v>
      </c>
      <c r="T201" s="18"/>
      <c r="U201" s="19" t="b">
        <f t="shared" si="100"/>
        <v>0</v>
      </c>
      <c r="V201" s="4">
        <v>0</v>
      </c>
      <c r="W201" s="19" t="b">
        <f>_xlfn.XOR(V201,U201)</f>
        <v>0</v>
      </c>
    </row>
    <row r="202" spans="2:25" ht="13"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5">
        <v>0</v>
      </c>
      <c r="Q202" s="5">
        <v>0</v>
      </c>
      <c r="R202" s="5">
        <v>0</v>
      </c>
      <c r="S202" s="5">
        <v>3</v>
      </c>
      <c r="T202" s="18"/>
      <c r="U202" s="19" t="b">
        <f t="shared" si="100"/>
        <v>0</v>
      </c>
      <c r="V202" s="4">
        <v>0</v>
      </c>
      <c r="W202" s="19" t="b">
        <f>_xlfn.XOR(V202,U202)</f>
        <v>0</v>
      </c>
    </row>
    <row r="203" spans="2:25" ht="13">
      <c r="B203" s="18"/>
      <c r="C203" s="18"/>
      <c r="D203" s="18"/>
      <c r="E203" s="1" t="s">
        <v>146</v>
      </c>
      <c r="F203" s="18"/>
      <c r="G203" s="18" t="s">
        <v>55</v>
      </c>
      <c r="H203" s="18"/>
      <c r="I203" s="18"/>
      <c r="J203" s="18"/>
      <c r="K203" s="18"/>
      <c r="L203" s="1" t="s">
        <v>141</v>
      </c>
      <c r="M203" s="18"/>
      <c r="N203" s="18" t="s">
        <v>142</v>
      </c>
      <c r="O203" s="18"/>
      <c r="P203" s="18"/>
      <c r="Q203" s="18"/>
      <c r="R203" s="18"/>
      <c r="S203" s="18"/>
      <c r="T203" s="18"/>
      <c r="U203" s="18" t="s">
        <v>133</v>
      </c>
      <c r="V203" s="18"/>
      <c r="W203" s="18" t="s">
        <v>138</v>
      </c>
    </row>
    <row r="204" spans="2:25" ht="13">
      <c r="B204" s="19" t="b">
        <f>_xlfn.XOR(B199,B197)</f>
        <v>0</v>
      </c>
      <c r="C204" s="19" t="b">
        <f>_xlfn.XOR(C199,C197)</f>
        <v>1</v>
      </c>
      <c r="D204" s="19" t="b">
        <f>_xlfn.XOR(D199,D197)</f>
        <v>1</v>
      </c>
      <c r="E204">
        <f t="shared" ref="E204:E205" si="101">IF(G204,IF(G199,1,-1),0)</f>
        <v>1</v>
      </c>
      <c r="F204" s="18"/>
      <c r="G204" s="19" t="b">
        <f>OR(I208:I210)</f>
        <v>1</v>
      </c>
      <c r="H204" s="18"/>
      <c r="I204" s="19" t="b">
        <f>_xlfn.XOR($G$14,I199)</f>
        <v>1</v>
      </c>
      <c r="J204" s="19" t="b">
        <f>_xlfn.XOR($G$15,J199)</f>
        <v>0</v>
      </c>
      <c r="K204" s="18"/>
      <c r="L204">
        <f t="shared" ref="L204:L206" si="102">IF(N204,IF(N199,1,-1),0)</f>
        <v>1</v>
      </c>
      <c r="M204" s="18"/>
      <c r="N204" s="19" t="b">
        <f t="shared" ref="N204:N206" si="103">OR(W204:W207)</f>
        <v>1</v>
      </c>
      <c r="O204" s="18"/>
      <c r="P204" s="19" t="b">
        <f>_xlfn.XOR($N$14,P199)</f>
        <v>0</v>
      </c>
      <c r="Q204" s="19" t="b">
        <f>_xlfn.XOR($N$15,Q199)</f>
        <v>0</v>
      </c>
      <c r="R204" s="19" t="b">
        <f>_xlfn.XOR($N$16,R199)</f>
        <v>0</v>
      </c>
      <c r="S204" s="18"/>
      <c r="T204" s="18"/>
      <c r="U204" s="5">
        <f t="shared" ref="U204:U207" si="104">IF(W199,IF(V199,1,-1),0)</f>
        <v>1</v>
      </c>
      <c r="V204" s="18"/>
      <c r="W204" s="19" t="b">
        <f t="shared" ref="W204:Y207" si="105">AND($W199,(_xlfn.XOR(P204,NOT($U199))))</f>
        <v>1</v>
      </c>
      <c r="X204" t="b">
        <f t="shared" si="105"/>
        <v>1</v>
      </c>
      <c r="Y204" t="b">
        <f t="shared" si="105"/>
        <v>1</v>
      </c>
    </row>
    <row r="205" spans="2:25" ht="13">
      <c r="B205" s="19" t="b">
        <f>_xlfn.XOR(B200,B197)</f>
        <v>1</v>
      </c>
      <c r="C205" s="19" t="b">
        <f>_xlfn.XOR(C200,C197)</f>
        <v>1</v>
      </c>
      <c r="D205" s="19" t="b">
        <f>_xlfn.XOR(D200,D197)</f>
        <v>1</v>
      </c>
      <c r="E205">
        <f t="shared" si="101"/>
        <v>0</v>
      </c>
      <c r="F205" s="18"/>
      <c r="G205" s="19" t="b">
        <f>OR(J208:J210)</f>
        <v>0</v>
      </c>
      <c r="H205" s="18"/>
      <c r="I205" s="19" t="b">
        <f>_xlfn.XOR($G$14,I200)</f>
        <v>1</v>
      </c>
      <c r="J205" s="19" t="b">
        <f>_xlfn.XOR($G$15,J200)</f>
        <v>0</v>
      </c>
      <c r="K205" s="18"/>
      <c r="L205">
        <f t="shared" si="102"/>
        <v>0</v>
      </c>
      <c r="M205" s="18"/>
      <c r="N205" s="19" t="b">
        <f t="shared" si="103"/>
        <v>0</v>
      </c>
      <c r="O205" s="18"/>
      <c r="P205" s="19" t="b">
        <f>_xlfn.XOR($N$14,P200)</f>
        <v>1</v>
      </c>
      <c r="Q205" s="19" t="b">
        <f>_xlfn.XOR($N$15,Q200)</f>
        <v>0</v>
      </c>
      <c r="R205" s="19" t="b">
        <f>_xlfn.XOR($N$16,R200)</f>
        <v>0</v>
      </c>
      <c r="S205" s="18"/>
      <c r="T205" s="18"/>
      <c r="U205" s="5">
        <f t="shared" si="104"/>
        <v>0</v>
      </c>
      <c r="V205" s="18"/>
      <c r="W205" s="19" t="b">
        <f t="shared" si="105"/>
        <v>0</v>
      </c>
      <c r="X205" t="b">
        <f t="shared" si="105"/>
        <v>0</v>
      </c>
      <c r="Y205" t="b">
        <f t="shared" si="105"/>
        <v>0</v>
      </c>
    </row>
    <row r="206" spans="2:25" ht="13">
      <c r="B206" s="18"/>
      <c r="C206" s="18"/>
      <c r="D206" s="18"/>
      <c r="E206" s="18"/>
      <c r="F206" s="18"/>
      <c r="G206" s="18"/>
      <c r="H206" s="18"/>
      <c r="I206" s="19" t="b">
        <f>_xlfn.XOR($G$14,I201)</f>
        <v>1</v>
      </c>
      <c r="J206" s="19" t="b">
        <f>_xlfn.XOR($G$15,J201)</f>
        <v>0</v>
      </c>
      <c r="K206" s="18"/>
      <c r="L206">
        <f t="shared" si="102"/>
        <v>0</v>
      </c>
      <c r="M206" s="18"/>
      <c r="N206" s="19" t="b">
        <f t="shared" si="103"/>
        <v>0</v>
      </c>
      <c r="O206" s="18"/>
      <c r="P206" s="19" t="b">
        <f>_xlfn.XOR($N$14,P201)</f>
        <v>0</v>
      </c>
      <c r="Q206" s="19" t="b">
        <f>_xlfn.XOR($N$15,Q201)</f>
        <v>0</v>
      </c>
      <c r="R206" s="19" t="b">
        <f>_xlfn.XOR($N$16,R201)</f>
        <v>0</v>
      </c>
      <c r="S206" s="18"/>
      <c r="T206" s="18"/>
      <c r="U206" s="5">
        <f t="shared" si="104"/>
        <v>0</v>
      </c>
      <c r="V206" s="18"/>
      <c r="W206" s="19" t="b">
        <f t="shared" si="105"/>
        <v>0</v>
      </c>
      <c r="X206" t="b">
        <f t="shared" si="105"/>
        <v>0</v>
      </c>
      <c r="Y206" t="b">
        <f t="shared" si="105"/>
        <v>0</v>
      </c>
    </row>
    <row r="207" spans="2:25" ht="13">
      <c r="B207" s="18" t="s">
        <v>149</v>
      </c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9" t="b">
        <f>_xlfn.XOR($N$14,P202)</f>
        <v>0</v>
      </c>
      <c r="Q207" s="19" t="b">
        <f>_xlfn.XOR($N$15,Q202)</f>
        <v>0</v>
      </c>
      <c r="R207" s="19" t="b">
        <f>_xlfn.XOR($N$16,R202)</f>
        <v>0</v>
      </c>
      <c r="S207" s="18"/>
      <c r="T207" s="18"/>
      <c r="U207" s="5">
        <f t="shared" si="104"/>
        <v>0</v>
      </c>
      <c r="V207" s="18"/>
      <c r="W207" s="19" t="b">
        <f t="shared" si="105"/>
        <v>0</v>
      </c>
      <c r="X207" t="b">
        <f t="shared" si="105"/>
        <v>0</v>
      </c>
      <c r="Y207" t="b">
        <f t="shared" si="105"/>
        <v>0</v>
      </c>
    </row>
    <row r="208" spans="2:25" ht="13">
      <c r="B208" s="19" t="b">
        <f t="shared" ref="B208:D209" si="106">AND($G204,(_xlfn.XOR(B204,NOT($G199))))</f>
        <v>0</v>
      </c>
      <c r="C208" s="19" t="b">
        <f t="shared" si="106"/>
        <v>1</v>
      </c>
      <c r="D208" s="19" t="b">
        <f t="shared" si="106"/>
        <v>1</v>
      </c>
      <c r="E208" s="18"/>
      <c r="F208" s="18"/>
      <c r="G208" s="18"/>
      <c r="H208" s="18" t="s">
        <v>144</v>
      </c>
      <c r="I208" s="19" t="b">
        <f t="shared" ref="I208:J210" si="107">AND($N204,(_xlfn.XOR(I204,NOT($N199))))</f>
        <v>1</v>
      </c>
      <c r="J208" s="19" t="b">
        <f t="shared" si="107"/>
        <v>0</v>
      </c>
      <c r="K208" s="18"/>
      <c r="L208" s="18"/>
      <c r="M208" s="18"/>
      <c r="N208" s="18"/>
      <c r="O208" s="18"/>
      <c r="P208" s="18"/>
      <c r="Q208" s="18"/>
      <c r="R208" s="18"/>
      <c r="S208" s="18"/>
      <c r="T208" s="1" t="s">
        <v>173</v>
      </c>
      <c r="U208" s="18"/>
      <c r="V208" s="18"/>
      <c r="W208" s="18"/>
    </row>
    <row r="209" spans="2:25" ht="13">
      <c r="B209" s="19" t="b">
        <f t="shared" si="106"/>
        <v>0</v>
      </c>
      <c r="C209" s="19" t="b">
        <f t="shared" si="106"/>
        <v>0</v>
      </c>
      <c r="D209" s="19" t="b">
        <f t="shared" si="106"/>
        <v>0</v>
      </c>
      <c r="E209" s="18"/>
      <c r="F209" s="18"/>
      <c r="G209" s="18"/>
      <c r="H209" s="18"/>
      <c r="I209" s="19" t="b">
        <f t="shared" si="107"/>
        <v>0</v>
      </c>
      <c r="J209" s="19" t="b">
        <f t="shared" si="107"/>
        <v>0</v>
      </c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</row>
    <row r="210" spans="2:25" ht="13">
      <c r="B210" s="18"/>
      <c r="C210" s="18"/>
      <c r="D210" s="18"/>
      <c r="E210" s="18"/>
      <c r="F210" s="18"/>
      <c r="G210" s="18"/>
      <c r="H210" s="18"/>
      <c r="I210" s="19" t="b">
        <f t="shared" si="107"/>
        <v>0</v>
      </c>
      <c r="J210" s="19" t="b">
        <f t="shared" si="107"/>
        <v>0</v>
      </c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</row>
    <row r="212" spans="2:25" ht="13">
      <c r="B212" s="4">
        <v>1</v>
      </c>
      <c r="C212" s="4">
        <v>1</v>
      </c>
      <c r="D212" s="4">
        <v>0</v>
      </c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</row>
    <row r="213" spans="2:25" ht="13">
      <c r="B213" s="37" t="s">
        <v>25</v>
      </c>
      <c r="C213" s="38"/>
      <c r="D213" s="38"/>
      <c r="E213" s="18" t="s">
        <v>24</v>
      </c>
      <c r="F213" s="18"/>
      <c r="G213" s="18" t="s">
        <v>127</v>
      </c>
      <c r="H213" s="18"/>
      <c r="I213" s="37" t="s">
        <v>23</v>
      </c>
      <c r="J213" s="38"/>
      <c r="K213" s="38"/>
      <c r="L213" s="18" t="s">
        <v>22</v>
      </c>
      <c r="M213" s="18"/>
      <c r="N213" s="18" t="s">
        <v>128</v>
      </c>
      <c r="O213" s="18"/>
      <c r="P213" s="37" t="s">
        <v>36</v>
      </c>
      <c r="Q213" s="38"/>
      <c r="R213" s="38"/>
      <c r="S213" s="18" t="s">
        <v>35</v>
      </c>
      <c r="T213" s="18"/>
      <c r="U213" s="18" t="s">
        <v>129</v>
      </c>
      <c r="V213" s="18" t="s">
        <v>130</v>
      </c>
      <c r="W213" s="18" t="s">
        <v>95</v>
      </c>
    </row>
    <row r="214" spans="2:25" ht="13">
      <c r="B214" s="5">
        <v>1</v>
      </c>
      <c r="C214" s="4">
        <v>1</v>
      </c>
      <c r="D214" s="5">
        <v>0</v>
      </c>
      <c r="E214" s="5">
        <v>2</v>
      </c>
      <c r="F214" s="18"/>
      <c r="G214" s="19" t="b">
        <f t="shared" ref="G214:G215" si="108">COUNTIF(B219:D219, TRUE)&gt;=E214</f>
        <v>0</v>
      </c>
      <c r="H214" s="18"/>
      <c r="I214" s="5">
        <v>1</v>
      </c>
      <c r="J214" s="5">
        <v>0</v>
      </c>
      <c r="K214" s="18"/>
      <c r="L214" s="5">
        <v>1</v>
      </c>
      <c r="M214" s="18"/>
      <c r="N214" s="19" t="b">
        <f t="shared" ref="N214:N216" si="109">COUNTIF(I219:J219, TRUE)&gt;=L214</f>
        <v>1</v>
      </c>
      <c r="O214" s="18"/>
      <c r="P214" s="5">
        <v>0</v>
      </c>
      <c r="Q214" s="4">
        <v>1</v>
      </c>
      <c r="R214" s="5">
        <v>0</v>
      </c>
      <c r="S214" s="5">
        <v>3</v>
      </c>
      <c r="T214" s="18"/>
      <c r="U214" s="19" t="b">
        <f t="shared" ref="U214:U217" si="110">COUNTIF(P219:R219, TRUE)&gt;=S214</f>
        <v>0</v>
      </c>
      <c r="V214" s="4">
        <v>1</v>
      </c>
      <c r="W214" s="19" t="b">
        <f>_xlfn.XOR(V214,U214)</f>
        <v>1</v>
      </c>
    </row>
    <row r="215" spans="2:25" ht="13">
      <c r="B215" s="5">
        <v>0</v>
      </c>
      <c r="C215" s="4">
        <v>1</v>
      </c>
      <c r="D215" s="4">
        <v>0</v>
      </c>
      <c r="E215" s="4">
        <v>2</v>
      </c>
      <c r="F215" s="18"/>
      <c r="G215" s="19" t="b">
        <f t="shared" si="108"/>
        <v>0</v>
      </c>
      <c r="H215" s="18"/>
      <c r="I215" s="5">
        <v>1</v>
      </c>
      <c r="J215" s="4">
        <v>0</v>
      </c>
      <c r="K215" s="18"/>
      <c r="L215" s="5">
        <f>L200+L205</f>
        <v>2</v>
      </c>
      <c r="M215" s="18"/>
      <c r="N215" s="19" t="b">
        <f t="shared" si="109"/>
        <v>0</v>
      </c>
      <c r="O215" s="18"/>
      <c r="P215" s="5">
        <v>1</v>
      </c>
      <c r="Q215" s="5">
        <v>0</v>
      </c>
      <c r="R215" s="5">
        <v>0</v>
      </c>
      <c r="S215" s="5">
        <v>3</v>
      </c>
      <c r="T215" s="18"/>
      <c r="U215" s="19" t="b">
        <f t="shared" si="110"/>
        <v>0</v>
      </c>
      <c r="V215" s="4">
        <v>1</v>
      </c>
      <c r="W215" s="19" t="b">
        <f>_xlfn.XOR(V215,U215)</f>
        <v>1</v>
      </c>
    </row>
    <row r="216" spans="2:25" ht="13">
      <c r="B216" s="18"/>
      <c r="C216" s="18"/>
      <c r="D216" s="18"/>
      <c r="E216" s="18"/>
      <c r="F216" s="18"/>
      <c r="G216" s="18"/>
      <c r="H216" s="18"/>
      <c r="I216" s="5">
        <v>1</v>
      </c>
      <c r="J216" s="4">
        <v>0</v>
      </c>
      <c r="K216" s="18"/>
      <c r="L216" s="5">
        <v>2</v>
      </c>
      <c r="M216" s="18"/>
      <c r="N216" s="19" t="b">
        <f t="shared" si="109"/>
        <v>0</v>
      </c>
      <c r="O216" s="18"/>
      <c r="P216" s="5">
        <v>0</v>
      </c>
      <c r="Q216" s="5">
        <v>0</v>
      </c>
      <c r="R216" s="5">
        <v>0</v>
      </c>
      <c r="S216" s="5">
        <v>3</v>
      </c>
      <c r="T216" s="18"/>
      <c r="U216" s="19" t="b">
        <f t="shared" si="110"/>
        <v>0</v>
      </c>
      <c r="V216" s="4">
        <v>1</v>
      </c>
      <c r="W216" s="19" t="b">
        <f>_xlfn.XOR(V216,U216)</f>
        <v>1</v>
      </c>
    </row>
    <row r="217" spans="2:25" ht="13"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5">
        <v>0</v>
      </c>
      <c r="Q217" s="5">
        <v>0</v>
      </c>
      <c r="R217" s="5">
        <v>0</v>
      </c>
      <c r="S217" s="5">
        <v>3</v>
      </c>
      <c r="T217" s="18"/>
      <c r="U217" s="19" t="b">
        <f t="shared" si="110"/>
        <v>0</v>
      </c>
      <c r="V217" s="4">
        <v>1</v>
      </c>
      <c r="W217" s="19" t="b">
        <f>_xlfn.XOR(V217,U217)</f>
        <v>1</v>
      </c>
    </row>
    <row r="218" spans="2:25" ht="13">
      <c r="B218" s="18"/>
      <c r="C218" s="18"/>
      <c r="D218" s="18"/>
      <c r="E218" s="1" t="s">
        <v>146</v>
      </c>
      <c r="F218" s="18"/>
      <c r="G218" s="18" t="s">
        <v>55</v>
      </c>
      <c r="H218" s="18"/>
      <c r="I218" s="18"/>
      <c r="J218" s="18"/>
      <c r="K218" s="18"/>
      <c r="L218" s="1" t="s">
        <v>141</v>
      </c>
      <c r="M218" s="18"/>
      <c r="N218" s="18" t="s">
        <v>142</v>
      </c>
      <c r="O218" s="18"/>
      <c r="P218" s="18"/>
      <c r="Q218" s="18"/>
      <c r="R218" s="18"/>
      <c r="S218" s="18"/>
      <c r="T218" s="18"/>
      <c r="U218" s="18" t="s">
        <v>133</v>
      </c>
      <c r="V218" s="18"/>
      <c r="W218" s="18" t="s">
        <v>138</v>
      </c>
    </row>
    <row r="219" spans="2:25" ht="13">
      <c r="B219" s="19" t="b">
        <f>_xlfn.XOR(B214,B212)</f>
        <v>0</v>
      </c>
      <c r="C219" s="19" t="b">
        <f>_xlfn.XOR(C214,C212)</f>
        <v>0</v>
      </c>
      <c r="D219" s="19" t="b">
        <f>_xlfn.XOR(D214,D212)</f>
        <v>0</v>
      </c>
      <c r="E219">
        <f t="shared" ref="E219:E220" si="111">IF(G219,IF(G214,1,-1),0)</f>
        <v>-1</v>
      </c>
      <c r="F219" s="18"/>
      <c r="G219" s="19" t="b">
        <f>OR(I223:I225)</f>
        <v>1</v>
      </c>
      <c r="H219" s="18"/>
      <c r="I219" s="19" t="b">
        <f>_xlfn.XOR($G$14,I214)</f>
        <v>1</v>
      </c>
      <c r="J219" s="19" t="b">
        <f>_xlfn.XOR($G$15,J214)</f>
        <v>0</v>
      </c>
      <c r="K219" s="18"/>
      <c r="L219">
        <f t="shared" ref="L219:L221" si="112">IF(N219,IF(N214,1,-1),0)</f>
        <v>1</v>
      </c>
      <c r="M219" s="18"/>
      <c r="N219" s="19" t="b">
        <f t="shared" ref="N219:N221" si="113">OR(W219:W222)</f>
        <v>1</v>
      </c>
      <c r="O219" s="18"/>
      <c r="P219" s="19" t="b">
        <f>_xlfn.XOR($N$14,P214)</f>
        <v>0</v>
      </c>
      <c r="Q219" s="19" t="b">
        <f>_xlfn.XOR($N$15,Q214)</f>
        <v>1</v>
      </c>
      <c r="R219" s="19" t="b">
        <f>_xlfn.XOR($N$16,R214)</f>
        <v>0</v>
      </c>
      <c r="S219" s="18"/>
      <c r="T219" s="18"/>
      <c r="U219" s="5">
        <f t="shared" ref="U219:U222" si="114">IF(W214,IF(V214,1,-1),0)</f>
        <v>1</v>
      </c>
      <c r="V219" s="18"/>
      <c r="W219" s="19" t="b">
        <f t="shared" ref="W219:Y222" si="115">AND($W214,(_xlfn.XOR(P219,NOT($U214))))</f>
        <v>1</v>
      </c>
      <c r="X219" t="b">
        <f t="shared" si="115"/>
        <v>0</v>
      </c>
      <c r="Y219" t="b">
        <f t="shared" si="115"/>
        <v>1</v>
      </c>
    </row>
    <row r="220" spans="2:25" ht="13">
      <c r="B220" s="19" t="b">
        <f>_xlfn.XOR(B215,B212)</f>
        <v>1</v>
      </c>
      <c r="C220" s="19" t="b">
        <f>_xlfn.XOR(C215,C212)</f>
        <v>0</v>
      </c>
      <c r="D220" s="19" t="b">
        <f>_xlfn.XOR(D215,D212)</f>
        <v>0</v>
      </c>
      <c r="E220">
        <f t="shared" si="111"/>
        <v>-1</v>
      </c>
      <c r="F220" s="18"/>
      <c r="G220" s="19" t="b">
        <f>OR(J223:J225)</f>
        <v>1</v>
      </c>
      <c r="H220" s="18"/>
      <c r="I220" s="19" t="b">
        <f>_xlfn.XOR($G$14,I215)</f>
        <v>1</v>
      </c>
      <c r="J220" s="19" t="b">
        <f>_xlfn.XOR($G$15,J215)</f>
        <v>0</v>
      </c>
      <c r="K220" s="18"/>
      <c r="L220">
        <f t="shared" si="112"/>
        <v>-1</v>
      </c>
      <c r="M220" s="18"/>
      <c r="N220" s="19" t="b">
        <f t="shared" si="113"/>
        <v>1</v>
      </c>
      <c r="O220" s="18"/>
      <c r="P220" s="19" t="b">
        <f>_xlfn.XOR($N$14,P215)</f>
        <v>1</v>
      </c>
      <c r="Q220" s="19" t="b">
        <f>_xlfn.XOR($N$15,Q215)</f>
        <v>0</v>
      </c>
      <c r="R220" s="19" t="b">
        <f>_xlfn.XOR($N$16,R215)</f>
        <v>0</v>
      </c>
      <c r="S220" s="18"/>
      <c r="T220" s="18"/>
      <c r="U220" s="5">
        <f t="shared" si="114"/>
        <v>1</v>
      </c>
      <c r="V220" s="18"/>
      <c r="W220" s="19" t="b">
        <f t="shared" si="115"/>
        <v>0</v>
      </c>
      <c r="X220" t="b">
        <f t="shared" si="115"/>
        <v>1</v>
      </c>
      <c r="Y220" t="b">
        <f t="shared" si="115"/>
        <v>1</v>
      </c>
    </row>
    <row r="221" spans="2:25" ht="13">
      <c r="B221" s="18"/>
      <c r="C221" s="18"/>
      <c r="D221" s="18"/>
      <c r="E221" s="18"/>
      <c r="F221" s="18"/>
      <c r="G221" s="18"/>
      <c r="H221" s="18"/>
      <c r="I221" s="19" t="b">
        <f>_xlfn.XOR($G$14,I216)</f>
        <v>1</v>
      </c>
      <c r="J221" s="19" t="b">
        <f>_xlfn.XOR($G$15,J216)</f>
        <v>0</v>
      </c>
      <c r="K221" s="18"/>
      <c r="L221">
        <f t="shared" si="112"/>
        <v>-1</v>
      </c>
      <c r="M221" s="18"/>
      <c r="N221" s="19" t="b">
        <f t="shared" si="113"/>
        <v>1</v>
      </c>
      <c r="O221" s="18"/>
      <c r="P221" s="19" t="b">
        <f>_xlfn.XOR($N$14,P216)</f>
        <v>0</v>
      </c>
      <c r="Q221" s="19" t="b">
        <f>_xlfn.XOR($N$15,Q216)</f>
        <v>0</v>
      </c>
      <c r="R221" s="19" t="b">
        <f>_xlfn.XOR($N$16,R216)</f>
        <v>0</v>
      </c>
      <c r="S221" s="18"/>
      <c r="T221" s="18"/>
      <c r="U221" s="5">
        <f t="shared" si="114"/>
        <v>1</v>
      </c>
      <c r="V221" s="18"/>
      <c r="W221" s="19" t="b">
        <f t="shared" si="115"/>
        <v>1</v>
      </c>
      <c r="X221" t="b">
        <f t="shared" si="115"/>
        <v>1</v>
      </c>
      <c r="Y221" t="b">
        <f t="shared" si="115"/>
        <v>1</v>
      </c>
    </row>
    <row r="222" spans="2:25" ht="13">
      <c r="B222" s="18" t="s">
        <v>149</v>
      </c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9" t="b">
        <f>_xlfn.XOR($N$14,P217)</f>
        <v>0</v>
      </c>
      <c r="Q222" s="19" t="b">
        <f>_xlfn.XOR($N$15,Q217)</f>
        <v>0</v>
      </c>
      <c r="R222" s="19" t="b">
        <f>_xlfn.XOR($N$16,R217)</f>
        <v>0</v>
      </c>
      <c r="S222" s="18"/>
      <c r="T222" s="18"/>
      <c r="U222" s="5">
        <f t="shared" si="114"/>
        <v>1</v>
      </c>
      <c r="V222" s="18"/>
      <c r="W222" s="19" t="b">
        <f t="shared" si="115"/>
        <v>1</v>
      </c>
      <c r="X222" t="b">
        <f t="shared" si="115"/>
        <v>1</v>
      </c>
      <c r="Y222" t="b">
        <f t="shared" si="115"/>
        <v>1</v>
      </c>
    </row>
    <row r="223" spans="2:25" ht="13">
      <c r="B223" s="19" t="b">
        <f t="shared" ref="B223:D224" si="116">AND($G219,(_xlfn.XOR(B219,NOT($G214))))</f>
        <v>1</v>
      </c>
      <c r="C223" s="19" t="b">
        <f t="shared" si="116"/>
        <v>1</v>
      </c>
      <c r="D223" s="19" t="b">
        <f t="shared" si="116"/>
        <v>1</v>
      </c>
      <c r="E223" s="18"/>
      <c r="F223" s="18"/>
      <c r="G223" s="18"/>
      <c r="H223" s="18" t="s">
        <v>144</v>
      </c>
      <c r="I223" s="19" t="b">
        <f t="shared" ref="I223:J225" si="117">AND($N219,(_xlfn.XOR(I219,NOT($N214))))</f>
        <v>1</v>
      </c>
      <c r="J223" s="19" t="b">
        <f t="shared" si="117"/>
        <v>0</v>
      </c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</row>
    <row r="224" spans="2:25" ht="13">
      <c r="B224" s="19" t="b">
        <f t="shared" si="116"/>
        <v>0</v>
      </c>
      <c r="C224" s="19" t="b">
        <f t="shared" si="116"/>
        <v>1</v>
      </c>
      <c r="D224" s="19" t="b">
        <f t="shared" si="116"/>
        <v>1</v>
      </c>
      <c r="E224" s="18"/>
      <c r="F224" s="18"/>
      <c r="G224" s="18"/>
      <c r="H224" s="18"/>
      <c r="I224" s="19" t="b">
        <f t="shared" si="117"/>
        <v>0</v>
      </c>
      <c r="J224" s="19" t="b">
        <f t="shared" si="117"/>
        <v>1</v>
      </c>
      <c r="K224" s="18"/>
      <c r="L224" s="1" t="s">
        <v>174</v>
      </c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</row>
    <row r="225" spans="2:25" ht="13">
      <c r="B225" s="18"/>
      <c r="C225" s="18"/>
      <c r="D225" s="18"/>
      <c r="E225" s="18"/>
      <c r="F225" s="18"/>
      <c r="G225" s="18"/>
      <c r="H225" s="18"/>
      <c r="I225" s="19" t="b">
        <f t="shared" si="117"/>
        <v>0</v>
      </c>
      <c r="J225" s="19" t="b">
        <f t="shared" si="117"/>
        <v>1</v>
      </c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</row>
    <row r="227" spans="2:25" ht="13">
      <c r="B227" s="4">
        <v>1</v>
      </c>
      <c r="C227" s="4">
        <v>1</v>
      </c>
      <c r="D227" s="4">
        <v>1</v>
      </c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</row>
    <row r="228" spans="2:25" ht="13">
      <c r="B228" s="37" t="s">
        <v>25</v>
      </c>
      <c r="C228" s="38"/>
      <c r="D228" s="38"/>
      <c r="E228" s="18" t="s">
        <v>24</v>
      </c>
      <c r="F228" s="18"/>
      <c r="G228" s="18" t="s">
        <v>127</v>
      </c>
      <c r="H228" s="18"/>
      <c r="I228" s="37" t="s">
        <v>23</v>
      </c>
      <c r="J228" s="38"/>
      <c r="K228" s="38"/>
      <c r="L228" s="18" t="s">
        <v>22</v>
      </c>
      <c r="M228" s="18"/>
      <c r="N228" s="18" t="s">
        <v>128</v>
      </c>
      <c r="O228" s="18"/>
      <c r="P228" s="37" t="s">
        <v>36</v>
      </c>
      <c r="Q228" s="38"/>
      <c r="R228" s="38"/>
      <c r="S228" s="18" t="s">
        <v>35</v>
      </c>
      <c r="T228" s="18"/>
      <c r="U228" s="18" t="s">
        <v>129</v>
      </c>
      <c r="V228" s="18" t="s">
        <v>130</v>
      </c>
      <c r="W228" s="18" t="s">
        <v>95</v>
      </c>
    </row>
    <row r="229" spans="2:25" ht="13">
      <c r="B229" s="5">
        <v>1</v>
      </c>
      <c r="C229" s="4">
        <v>1</v>
      </c>
      <c r="D229" s="5">
        <v>0</v>
      </c>
      <c r="E229" s="5">
        <v>2</v>
      </c>
      <c r="F229" s="18"/>
      <c r="G229" s="19" t="b">
        <f t="shared" ref="G229:G230" si="118">COUNTIF(B234:D234, TRUE)&gt;=E229</f>
        <v>0</v>
      </c>
      <c r="H229" s="18"/>
      <c r="I229" s="5">
        <v>1</v>
      </c>
      <c r="J229" s="5">
        <v>0</v>
      </c>
      <c r="K229" s="18"/>
      <c r="L229" s="5">
        <v>1</v>
      </c>
      <c r="M229" s="18"/>
      <c r="N229" s="19" t="b">
        <f t="shared" ref="N229:N231" si="119">COUNTIF(I234:J234, TRUE)&gt;=L229</f>
        <v>1</v>
      </c>
      <c r="O229" s="18"/>
      <c r="P229" s="5">
        <v>0</v>
      </c>
      <c r="Q229" s="4">
        <v>1</v>
      </c>
      <c r="R229" s="5">
        <v>0</v>
      </c>
      <c r="S229" s="5">
        <v>3</v>
      </c>
      <c r="T229" s="18"/>
      <c r="U229" s="19" t="b">
        <f t="shared" ref="U229:U232" si="120">COUNTIF(P234:R234, TRUE)&gt;=S229</f>
        <v>0</v>
      </c>
      <c r="V229" s="4">
        <v>0</v>
      </c>
      <c r="W229" s="19" t="b">
        <f>_xlfn.XOR(V229,U229)</f>
        <v>0</v>
      </c>
    </row>
    <row r="230" spans="2:25" ht="13">
      <c r="B230" s="5">
        <v>0</v>
      </c>
      <c r="C230" s="4">
        <v>1</v>
      </c>
      <c r="D230" s="4">
        <v>0</v>
      </c>
      <c r="E230" s="4">
        <v>2</v>
      </c>
      <c r="F230" s="18"/>
      <c r="G230" s="19" t="b">
        <f t="shared" si="118"/>
        <v>1</v>
      </c>
      <c r="H230" s="18"/>
      <c r="I230" s="5">
        <v>1</v>
      </c>
      <c r="J230" s="4">
        <v>0</v>
      </c>
      <c r="K230" s="18"/>
      <c r="L230" s="5">
        <f>L215+L220</f>
        <v>1</v>
      </c>
      <c r="M230" s="18"/>
      <c r="N230" s="19" t="b">
        <f t="shared" si="119"/>
        <v>1</v>
      </c>
      <c r="O230" s="18"/>
      <c r="P230" s="5">
        <v>1</v>
      </c>
      <c r="Q230" s="5">
        <v>0</v>
      </c>
      <c r="R230" s="5">
        <v>0</v>
      </c>
      <c r="S230" s="5">
        <v>3</v>
      </c>
      <c r="T230" s="18"/>
      <c r="U230" s="19" t="b">
        <f t="shared" si="120"/>
        <v>0</v>
      </c>
      <c r="V230" s="4">
        <v>0</v>
      </c>
      <c r="W230" s="19" t="b">
        <f>_xlfn.XOR(V230,U230)</f>
        <v>0</v>
      </c>
    </row>
    <row r="231" spans="2:25" ht="13">
      <c r="B231" s="18"/>
      <c r="C231" s="18"/>
      <c r="D231" s="18"/>
      <c r="E231" s="18"/>
      <c r="F231" s="18"/>
      <c r="G231" s="18"/>
      <c r="H231" s="18"/>
      <c r="I231" s="5">
        <v>1</v>
      </c>
      <c r="J231" s="4">
        <v>0</v>
      </c>
      <c r="K231" s="18"/>
      <c r="L231" s="4">
        <v>1</v>
      </c>
      <c r="M231" s="18"/>
      <c r="N231" s="19" t="b">
        <f t="shared" si="119"/>
        <v>1</v>
      </c>
      <c r="O231" s="18"/>
      <c r="P231" s="5">
        <v>0</v>
      </c>
      <c r="Q231" s="5">
        <v>0</v>
      </c>
      <c r="R231" s="5">
        <v>0</v>
      </c>
      <c r="S231" s="5">
        <v>3</v>
      </c>
      <c r="T231" s="18"/>
      <c r="U231" s="19" t="b">
        <f t="shared" si="120"/>
        <v>0</v>
      </c>
      <c r="V231" s="4">
        <v>0</v>
      </c>
      <c r="W231" s="19" t="b">
        <f>_xlfn.XOR(V231,U231)</f>
        <v>0</v>
      </c>
    </row>
    <row r="232" spans="2:25" ht="13"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5">
        <v>0</v>
      </c>
      <c r="Q232" s="5">
        <v>0</v>
      </c>
      <c r="R232" s="5">
        <v>0</v>
      </c>
      <c r="S232" s="5">
        <v>3</v>
      </c>
      <c r="T232" s="18"/>
      <c r="U232" s="19" t="b">
        <f t="shared" si="120"/>
        <v>0</v>
      </c>
      <c r="V232" s="4">
        <v>0</v>
      </c>
      <c r="W232" s="19" t="b">
        <f>_xlfn.XOR(V232,U232)</f>
        <v>0</v>
      </c>
    </row>
    <row r="233" spans="2:25" ht="13">
      <c r="B233" s="18"/>
      <c r="C233" s="18"/>
      <c r="D233" s="18"/>
      <c r="E233" s="1" t="s">
        <v>146</v>
      </c>
      <c r="F233" s="18"/>
      <c r="G233" s="18" t="s">
        <v>55</v>
      </c>
      <c r="H233" s="18"/>
      <c r="I233" s="18"/>
      <c r="J233" s="18"/>
      <c r="K233" s="18"/>
      <c r="L233" s="1" t="s">
        <v>141</v>
      </c>
      <c r="M233" s="18"/>
      <c r="N233" s="18" t="s">
        <v>142</v>
      </c>
      <c r="O233" s="18"/>
      <c r="P233" s="18"/>
      <c r="Q233" s="18"/>
      <c r="R233" s="18"/>
      <c r="S233" s="18"/>
      <c r="T233" s="18"/>
      <c r="U233" s="18" t="s">
        <v>133</v>
      </c>
      <c r="V233" s="18"/>
      <c r="W233" s="18" t="s">
        <v>138</v>
      </c>
    </row>
    <row r="234" spans="2:25" ht="13">
      <c r="B234" s="19" t="b">
        <f>_xlfn.XOR(B229,B227)</f>
        <v>0</v>
      </c>
      <c r="C234" s="19" t="b">
        <f>_xlfn.XOR(C229,C227)</f>
        <v>0</v>
      </c>
      <c r="D234" s="19" t="b">
        <f>_xlfn.XOR(D229,D227)</f>
        <v>1</v>
      </c>
      <c r="E234">
        <f t="shared" ref="E234:E235" si="121">IF(G234,IF(G229,1,-1),0)</f>
        <v>0</v>
      </c>
      <c r="F234" s="18"/>
      <c r="G234" s="19" t="b">
        <f>OR(I238:I240)</f>
        <v>0</v>
      </c>
      <c r="H234" s="18"/>
      <c r="I234" s="19" t="b">
        <f>_xlfn.XOR($G$14,I229)</f>
        <v>1</v>
      </c>
      <c r="J234" s="19" t="b">
        <f>_xlfn.XOR($G$15,J229)</f>
        <v>0</v>
      </c>
      <c r="K234" s="18"/>
      <c r="L234">
        <f t="shared" ref="L234:L236" si="122">IF(N234,IF(N229,1,-1),0)</f>
        <v>0</v>
      </c>
      <c r="M234" s="18"/>
      <c r="N234" s="19" t="b">
        <f t="shared" ref="N234:N236" si="123">OR(W234:W237)</f>
        <v>0</v>
      </c>
      <c r="O234" s="18"/>
      <c r="P234" s="19" t="b">
        <f>_xlfn.XOR($N$14,P229)</f>
        <v>0</v>
      </c>
      <c r="Q234" s="19" t="b">
        <f>_xlfn.XOR($N$15,Q229)</f>
        <v>1</v>
      </c>
      <c r="R234" s="19" t="b">
        <f>_xlfn.XOR($N$16,R229)</f>
        <v>0</v>
      </c>
      <c r="S234" s="18"/>
      <c r="T234" s="18"/>
      <c r="U234" s="5">
        <f t="shared" ref="U234:U237" si="124">IF(W229,IF(V229,1,-1),0)</f>
        <v>0</v>
      </c>
      <c r="V234" s="18"/>
      <c r="W234" s="19" t="b">
        <f t="shared" ref="W234:Y237" si="125">AND($W229,(_xlfn.XOR(P234,NOT($U229))))</f>
        <v>0</v>
      </c>
      <c r="X234" t="b">
        <f t="shared" si="125"/>
        <v>0</v>
      </c>
      <c r="Y234" t="b">
        <f t="shared" si="125"/>
        <v>0</v>
      </c>
    </row>
    <row r="235" spans="2:25" ht="13">
      <c r="B235" s="19" t="b">
        <f>_xlfn.XOR(B230,B227)</f>
        <v>1</v>
      </c>
      <c r="C235" s="19" t="b">
        <f>_xlfn.XOR(C230,C227)</f>
        <v>0</v>
      </c>
      <c r="D235" s="19" t="b">
        <f>_xlfn.XOR(D230,D227)</f>
        <v>1</v>
      </c>
      <c r="E235">
        <f t="shared" si="121"/>
        <v>0</v>
      </c>
      <c r="F235" s="18"/>
      <c r="G235" s="19" t="b">
        <f>OR(J238:J240)</f>
        <v>0</v>
      </c>
      <c r="H235" s="18"/>
      <c r="I235" s="19" t="b">
        <f>_xlfn.XOR($G$14,I230)</f>
        <v>1</v>
      </c>
      <c r="J235" s="19" t="b">
        <f>_xlfn.XOR($G$15,J230)</f>
        <v>0</v>
      </c>
      <c r="K235" s="18"/>
      <c r="L235">
        <f t="shared" si="122"/>
        <v>0</v>
      </c>
      <c r="M235" s="18"/>
      <c r="N235" s="19" t="b">
        <f t="shared" si="123"/>
        <v>0</v>
      </c>
      <c r="O235" s="18"/>
      <c r="P235" s="19" t="b">
        <f>_xlfn.XOR($N$14,P230)</f>
        <v>1</v>
      </c>
      <c r="Q235" s="19" t="b">
        <f>_xlfn.XOR($N$15,Q230)</f>
        <v>0</v>
      </c>
      <c r="R235" s="19" t="b">
        <f>_xlfn.XOR($N$16,R230)</f>
        <v>0</v>
      </c>
      <c r="S235" s="18"/>
      <c r="T235" s="18"/>
      <c r="U235" s="5">
        <f t="shared" si="124"/>
        <v>0</v>
      </c>
      <c r="V235" s="18"/>
      <c r="W235" s="19" t="b">
        <f t="shared" si="125"/>
        <v>0</v>
      </c>
      <c r="X235" t="b">
        <f t="shared" si="125"/>
        <v>0</v>
      </c>
      <c r="Y235" t="b">
        <f t="shared" si="125"/>
        <v>0</v>
      </c>
    </row>
    <row r="236" spans="2:25" ht="13">
      <c r="B236" s="18"/>
      <c r="C236" s="18"/>
      <c r="D236" s="18"/>
      <c r="E236" s="18"/>
      <c r="F236" s="18"/>
      <c r="G236" s="18"/>
      <c r="H236" s="18"/>
      <c r="I236" s="19" t="b">
        <f>_xlfn.XOR($G$14,I231)</f>
        <v>1</v>
      </c>
      <c r="J236" s="19" t="b">
        <f>_xlfn.XOR($G$15,J231)</f>
        <v>0</v>
      </c>
      <c r="K236" s="18"/>
      <c r="L236">
        <f t="shared" si="122"/>
        <v>0</v>
      </c>
      <c r="M236" s="18"/>
      <c r="N236" s="19" t="b">
        <f t="shared" si="123"/>
        <v>0</v>
      </c>
      <c r="O236" s="18"/>
      <c r="P236" s="19" t="b">
        <f>_xlfn.XOR($N$14,P231)</f>
        <v>0</v>
      </c>
      <c r="Q236" s="19" t="b">
        <f>_xlfn.XOR($N$15,Q231)</f>
        <v>0</v>
      </c>
      <c r="R236" s="19" t="b">
        <f>_xlfn.XOR($N$16,R231)</f>
        <v>0</v>
      </c>
      <c r="S236" s="18"/>
      <c r="T236" s="18"/>
      <c r="U236" s="5">
        <f t="shared" si="124"/>
        <v>0</v>
      </c>
      <c r="V236" s="18"/>
      <c r="W236" s="19" t="b">
        <f t="shared" si="125"/>
        <v>0</v>
      </c>
      <c r="X236" t="b">
        <f t="shared" si="125"/>
        <v>0</v>
      </c>
      <c r="Y236" t="b">
        <f t="shared" si="125"/>
        <v>0</v>
      </c>
    </row>
    <row r="237" spans="2:25" ht="13">
      <c r="B237" s="18" t="s">
        <v>149</v>
      </c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9" t="b">
        <f>_xlfn.XOR($N$14,P232)</f>
        <v>0</v>
      </c>
      <c r="Q237" s="19" t="b">
        <f>_xlfn.XOR($N$15,Q232)</f>
        <v>0</v>
      </c>
      <c r="R237" s="19" t="b">
        <f>_xlfn.XOR($N$16,R232)</f>
        <v>0</v>
      </c>
      <c r="S237" s="18"/>
      <c r="T237" s="18"/>
      <c r="U237" s="5">
        <f t="shared" si="124"/>
        <v>0</v>
      </c>
      <c r="V237" s="18"/>
      <c r="W237" s="19" t="b">
        <f t="shared" si="125"/>
        <v>0</v>
      </c>
      <c r="X237" t="b">
        <f t="shared" si="125"/>
        <v>0</v>
      </c>
      <c r="Y237" t="b">
        <f t="shared" si="125"/>
        <v>0</v>
      </c>
    </row>
    <row r="238" spans="2:25" ht="13">
      <c r="B238" s="19" t="b">
        <f t="shared" ref="B238:D239" si="126">AND($G234,(_xlfn.XOR(B234,NOT($G229))))</f>
        <v>0</v>
      </c>
      <c r="C238" s="19" t="b">
        <f t="shared" si="126"/>
        <v>0</v>
      </c>
      <c r="D238" s="19" t="b">
        <f t="shared" si="126"/>
        <v>0</v>
      </c>
      <c r="E238" s="18"/>
      <c r="F238" s="18"/>
      <c r="G238" s="18"/>
      <c r="H238" s="18" t="s">
        <v>144</v>
      </c>
      <c r="I238" s="19" t="b">
        <f t="shared" ref="I238:J240" si="127">AND($N234,(_xlfn.XOR(I234,NOT($N229))))</f>
        <v>0</v>
      </c>
      <c r="J238" s="19" t="b">
        <f t="shared" si="127"/>
        <v>0</v>
      </c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</row>
    <row r="239" spans="2:25" ht="13">
      <c r="B239" s="19" t="b">
        <f t="shared" si="126"/>
        <v>0</v>
      </c>
      <c r="C239" s="19" t="b">
        <f t="shared" si="126"/>
        <v>0</v>
      </c>
      <c r="D239" s="19" t="b">
        <f t="shared" si="126"/>
        <v>0</v>
      </c>
      <c r="E239" s="18"/>
      <c r="F239" s="18"/>
      <c r="G239" s="18"/>
      <c r="H239" s="18"/>
      <c r="I239" s="19" t="b">
        <f t="shared" si="127"/>
        <v>0</v>
      </c>
      <c r="J239" s="19" t="b">
        <f t="shared" si="127"/>
        <v>0</v>
      </c>
      <c r="K239" s="18"/>
      <c r="L239" s="1" t="s">
        <v>175</v>
      </c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</row>
    <row r="240" spans="2:25" ht="13">
      <c r="B240" s="18"/>
      <c r="C240" s="18"/>
      <c r="D240" s="18"/>
      <c r="E240" s="18"/>
      <c r="F240" s="18"/>
      <c r="G240" s="18"/>
      <c r="H240" s="18"/>
      <c r="I240" s="19" t="b">
        <f t="shared" si="127"/>
        <v>0</v>
      </c>
      <c r="J240" s="19" t="b">
        <f t="shared" si="127"/>
        <v>0</v>
      </c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</row>
    <row r="242" spans="2:25" ht="13">
      <c r="B242" s="4">
        <v>0</v>
      </c>
      <c r="C242" s="4">
        <v>0</v>
      </c>
      <c r="D242" s="4">
        <v>0</v>
      </c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</row>
    <row r="243" spans="2:25" ht="13">
      <c r="B243" s="37" t="s">
        <v>25</v>
      </c>
      <c r="C243" s="38"/>
      <c r="D243" s="38"/>
      <c r="E243" s="18" t="s">
        <v>24</v>
      </c>
      <c r="F243" s="18"/>
      <c r="G243" s="18" t="s">
        <v>127</v>
      </c>
      <c r="H243" s="18"/>
      <c r="I243" s="37" t="s">
        <v>23</v>
      </c>
      <c r="J243" s="38"/>
      <c r="K243" s="38"/>
      <c r="L243" s="18" t="s">
        <v>22</v>
      </c>
      <c r="M243" s="18"/>
      <c r="N243" s="18" t="s">
        <v>128</v>
      </c>
      <c r="O243" s="18"/>
      <c r="P243" s="37" t="s">
        <v>36</v>
      </c>
      <c r="Q243" s="38"/>
      <c r="R243" s="38"/>
      <c r="S243" s="18" t="s">
        <v>35</v>
      </c>
      <c r="T243" s="18"/>
      <c r="U243" s="18" t="s">
        <v>129</v>
      </c>
      <c r="V243" s="18" t="s">
        <v>130</v>
      </c>
      <c r="W243" s="18" t="s">
        <v>95</v>
      </c>
    </row>
    <row r="244" spans="2:25" ht="13">
      <c r="B244" s="5">
        <v>1</v>
      </c>
      <c r="C244" s="4">
        <v>1</v>
      </c>
      <c r="D244" s="5">
        <v>0</v>
      </c>
      <c r="E244" s="5">
        <v>2</v>
      </c>
      <c r="F244" s="18"/>
      <c r="G244" s="19" t="b">
        <f t="shared" ref="G244:G245" si="128">COUNTIF(B249:D249, TRUE)&gt;=E244</f>
        <v>1</v>
      </c>
      <c r="H244" s="18"/>
      <c r="I244" s="5">
        <v>1</v>
      </c>
      <c r="J244" s="5">
        <v>0</v>
      </c>
      <c r="K244" s="18"/>
      <c r="L244" s="5">
        <v>1</v>
      </c>
      <c r="M244" s="18"/>
      <c r="N244" s="19" t="b">
        <f t="shared" ref="N244:N246" si="129">COUNTIF(I249:J249, TRUE)&gt;=L244</f>
        <v>1</v>
      </c>
      <c r="O244" s="18"/>
      <c r="P244" s="5">
        <v>0</v>
      </c>
      <c r="Q244" s="4">
        <v>1</v>
      </c>
      <c r="R244" s="5">
        <v>0</v>
      </c>
      <c r="S244" s="5">
        <v>3</v>
      </c>
      <c r="T244" s="18"/>
      <c r="U244" s="19" t="b">
        <f t="shared" ref="U244:U247" si="130">COUNTIF(P249:R249, TRUE)&gt;=S244</f>
        <v>0</v>
      </c>
      <c r="V244" s="4">
        <v>0</v>
      </c>
      <c r="W244" s="19" t="b">
        <f>_xlfn.XOR(V244,U244)</f>
        <v>0</v>
      </c>
    </row>
    <row r="245" spans="2:25" ht="13">
      <c r="B245" s="5">
        <v>0</v>
      </c>
      <c r="C245" s="4">
        <v>1</v>
      </c>
      <c r="D245" s="4">
        <v>0</v>
      </c>
      <c r="E245" s="4">
        <v>2</v>
      </c>
      <c r="F245" s="18"/>
      <c r="G245" s="19" t="b">
        <f t="shared" si="128"/>
        <v>0</v>
      </c>
      <c r="H245" s="18"/>
      <c r="I245" s="5">
        <v>1</v>
      </c>
      <c r="J245" s="4">
        <v>0</v>
      </c>
      <c r="K245" s="18"/>
      <c r="L245" s="5">
        <f>L230+L235</f>
        <v>1</v>
      </c>
      <c r="M245" s="18"/>
      <c r="N245" s="19" t="b">
        <f t="shared" si="129"/>
        <v>1</v>
      </c>
      <c r="O245" s="18"/>
      <c r="P245" s="5">
        <v>1</v>
      </c>
      <c r="Q245" s="5">
        <v>0</v>
      </c>
      <c r="R245" s="5">
        <v>0</v>
      </c>
      <c r="S245" s="5">
        <v>3</v>
      </c>
      <c r="T245" s="18"/>
      <c r="U245" s="19" t="b">
        <f t="shared" si="130"/>
        <v>0</v>
      </c>
      <c r="V245" s="4">
        <v>1</v>
      </c>
      <c r="W245" s="19" t="b">
        <f>_xlfn.XOR(V245,U245)</f>
        <v>1</v>
      </c>
    </row>
    <row r="246" spans="2:25" ht="13">
      <c r="B246" s="18"/>
      <c r="C246" s="18"/>
      <c r="D246" s="18"/>
      <c r="E246" s="18"/>
      <c r="F246" s="18"/>
      <c r="G246" s="18"/>
      <c r="H246" s="18"/>
      <c r="I246" s="5">
        <v>1</v>
      </c>
      <c r="J246" s="4">
        <v>0</v>
      </c>
      <c r="K246" s="18"/>
      <c r="L246" s="4">
        <v>1</v>
      </c>
      <c r="M246" s="18"/>
      <c r="N246" s="19" t="b">
        <f t="shared" si="129"/>
        <v>1</v>
      </c>
      <c r="O246" s="18"/>
      <c r="P246" s="5">
        <v>0</v>
      </c>
      <c r="Q246" s="5">
        <v>0</v>
      </c>
      <c r="R246" s="5">
        <v>0</v>
      </c>
      <c r="S246" s="5">
        <v>3</v>
      </c>
      <c r="T246" s="18"/>
      <c r="U246" s="19" t="b">
        <f t="shared" si="130"/>
        <v>0</v>
      </c>
      <c r="V246" s="4">
        <v>0</v>
      </c>
      <c r="W246" s="19" t="b">
        <f>_xlfn.XOR(V246,U246)</f>
        <v>0</v>
      </c>
    </row>
    <row r="247" spans="2:25" ht="13"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5">
        <v>0</v>
      </c>
      <c r="Q247" s="5">
        <v>0</v>
      </c>
      <c r="R247" s="5">
        <v>0</v>
      </c>
      <c r="S247" s="5">
        <v>3</v>
      </c>
      <c r="T247" s="18"/>
      <c r="U247" s="19" t="b">
        <f t="shared" si="130"/>
        <v>0</v>
      </c>
      <c r="V247" s="4">
        <v>1</v>
      </c>
      <c r="W247" s="19" t="b">
        <f>_xlfn.XOR(V247,U247)</f>
        <v>1</v>
      </c>
    </row>
    <row r="248" spans="2:25" ht="13">
      <c r="B248" s="18"/>
      <c r="C248" s="18"/>
      <c r="D248" s="18"/>
      <c r="E248" s="1" t="s">
        <v>146</v>
      </c>
      <c r="F248" s="18"/>
      <c r="G248" s="18" t="s">
        <v>55</v>
      </c>
      <c r="H248" s="18"/>
      <c r="I248" s="18"/>
      <c r="J248" s="18"/>
      <c r="K248" s="18"/>
      <c r="L248" s="1" t="s">
        <v>141</v>
      </c>
      <c r="M248" s="18"/>
      <c r="N248" s="18" t="s">
        <v>142</v>
      </c>
      <c r="O248" s="18"/>
      <c r="P248" s="18"/>
      <c r="Q248" s="18"/>
      <c r="R248" s="18"/>
      <c r="S248" s="18"/>
      <c r="T248" s="18"/>
      <c r="U248" s="18" t="s">
        <v>133</v>
      </c>
      <c r="V248" s="18"/>
      <c r="W248" s="18" t="s">
        <v>138</v>
      </c>
    </row>
    <row r="249" spans="2:25" ht="13">
      <c r="B249" s="19" t="b">
        <f>_xlfn.XOR(B244,B242)</f>
        <v>1</v>
      </c>
      <c r="C249" s="19" t="b">
        <f>_xlfn.XOR(C244,C242)</f>
        <v>1</v>
      </c>
      <c r="D249" s="19" t="b">
        <f>_xlfn.XOR(D244,D242)</f>
        <v>0</v>
      </c>
      <c r="E249">
        <f t="shared" ref="E249:E250" si="131">IF(G249,IF(G244,1,-1),0)</f>
        <v>1</v>
      </c>
      <c r="F249" s="18"/>
      <c r="G249" s="19" t="b">
        <f>OR(I253:I255)</f>
        <v>1</v>
      </c>
      <c r="H249" s="18"/>
      <c r="I249" s="19" t="b">
        <f>_xlfn.XOR($G$14,I244)</f>
        <v>1</v>
      </c>
      <c r="J249" s="19" t="b">
        <f>_xlfn.XOR($G$15,J244)</f>
        <v>0</v>
      </c>
      <c r="K249" s="18"/>
      <c r="L249">
        <f t="shared" ref="L249:L251" si="132">IF(N249,IF(N244,1,-1),0)</f>
        <v>1</v>
      </c>
      <c r="M249" s="18"/>
      <c r="N249" s="19" t="b">
        <f t="shared" ref="N249:N251" si="133">OR(W249:W252)</f>
        <v>1</v>
      </c>
      <c r="O249" s="18"/>
      <c r="P249" s="19" t="b">
        <f>_xlfn.XOR($N$14,P244)</f>
        <v>0</v>
      </c>
      <c r="Q249" s="19" t="b">
        <f>_xlfn.XOR($N$15,Q244)</f>
        <v>1</v>
      </c>
      <c r="R249" s="19" t="b">
        <f>_xlfn.XOR($N$16,R244)</f>
        <v>0</v>
      </c>
      <c r="S249" s="18"/>
      <c r="T249" s="18"/>
      <c r="U249" s="5">
        <f t="shared" ref="U249:U252" si="134">IF(W244,IF(V244,1,-1),0)</f>
        <v>0</v>
      </c>
      <c r="V249" s="18"/>
      <c r="W249" s="19" t="b">
        <f t="shared" ref="W249:Y252" si="135">AND($W244,(_xlfn.XOR(P249,NOT($U244))))</f>
        <v>0</v>
      </c>
      <c r="X249" t="b">
        <f t="shared" si="135"/>
        <v>0</v>
      </c>
      <c r="Y249" t="b">
        <f t="shared" si="135"/>
        <v>0</v>
      </c>
    </row>
    <row r="250" spans="2:25" ht="13">
      <c r="B250" s="19" t="b">
        <f>_xlfn.XOR(B245,B242)</f>
        <v>0</v>
      </c>
      <c r="C250" s="19" t="b">
        <f>_xlfn.XOR(C245,C242)</f>
        <v>1</v>
      </c>
      <c r="D250" s="19" t="b">
        <f>_xlfn.XOR(D245,D242)</f>
        <v>0</v>
      </c>
      <c r="E250">
        <f t="shared" si="131"/>
        <v>0</v>
      </c>
      <c r="F250" s="18"/>
      <c r="G250" s="19" t="b">
        <f>OR(J253:J255)</f>
        <v>0</v>
      </c>
      <c r="H250" s="18"/>
      <c r="I250" s="19" t="b">
        <f>_xlfn.XOR($G$14,I245)</f>
        <v>1</v>
      </c>
      <c r="J250" s="19" t="b">
        <f>_xlfn.XOR($G$15,J245)</f>
        <v>0</v>
      </c>
      <c r="K250" s="18"/>
      <c r="L250">
        <f t="shared" si="132"/>
        <v>1</v>
      </c>
      <c r="M250" s="18"/>
      <c r="N250" s="19" t="b">
        <f t="shared" si="133"/>
        <v>1</v>
      </c>
      <c r="O250" s="18"/>
      <c r="P250" s="19" t="b">
        <f>_xlfn.XOR($N$14,P245)</f>
        <v>1</v>
      </c>
      <c r="Q250" s="19" t="b">
        <f>_xlfn.XOR($N$15,Q245)</f>
        <v>0</v>
      </c>
      <c r="R250" s="19" t="b">
        <f>_xlfn.XOR($N$16,R245)</f>
        <v>0</v>
      </c>
      <c r="S250" s="18"/>
      <c r="T250" s="18"/>
      <c r="U250" s="5">
        <f t="shared" si="134"/>
        <v>1</v>
      </c>
      <c r="V250" s="18"/>
      <c r="W250" s="19" t="b">
        <f t="shared" si="135"/>
        <v>0</v>
      </c>
      <c r="X250" t="b">
        <f t="shared" si="135"/>
        <v>1</v>
      </c>
      <c r="Y250" t="b">
        <f t="shared" si="135"/>
        <v>1</v>
      </c>
    </row>
    <row r="251" spans="2:25" ht="13">
      <c r="B251" s="18"/>
      <c r="C251" s="18"/>
      <c r="D251" s="18"/>
      <c r="E251" s="18"/>
      <c r="F251" s="18"/>
      <c r="G251" s="18"/>
      <c r="H251" s="18"/>
      <c r="I251" s="19" t="b">
        <f>_xlfn.XOR($G$14,I246)</f>
        <v>1</v>
      </c>
      <c r="J251" s="19" t="b">
        <f>_xlfn.XOR($G$15,J246)</f>
        <v>0</v>
      </c>
      <c r="K251" s="18"/>
      <c r="L251">
        <f t="shared" si="132"/>
        <v>1</v>
      </c>
      <c r="M251" s="18"/>
      <c r="N251" s="19" t="b">
        <f t="shared" si="133"/>
        <v>1</v>
      </c>
      <c r="O251" s="18"/>
      <c r="P251" s="19" t="b">
        <f>_xlfn.XOR($N$14,P246)</f>
        <v>0</v>
      </c>
      <c r="Q251" s="19" t="b">
        <f>_xlfn.XOR($N$15,Q246)</f>
        <v>0</v>
      </c>
      <c r="R251" s="19" t="b">
        <f>_xlfn.XOR($N$16,R246)</f>
        <v>0</v>
      </c>
      <c r="S251" s="18"/>
      <c r="T251" s="18"/>
      <c r="U251" s="5">
        <f t="shared" si="134"/>
        <v>0</v>
      </c>
      <c r="V251" s="18"/>
      <c r="W251" s="19" t="b">
        <f t="shared" si="135"/>
        <v>0</v>
      </c>
      <c r="X251" t="b">
        <f t="shared" si="135"/>
        <v>0</v>
      </c>
      <c r="Y251" t="b">
        <f t="shared" si="135"/>
        <v>0</v>
      </c>
    </row>
    <row r="252" spans="2:25" ht="13">
      <c r="B252" s="18" t="s">
        <v>149</v>
      </c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9" t="b">
        <f>_xlfn.XOR($N$14,P247)</f>
        <v>0</v>
      </c>
      <c r="Q252" s="19" t="b">
        <f>_xlfn.XOR($N$15,Q247)</f>
        <v>0</v>
      </c>
      <c r="R252" s="19" t="b">
        <f>_xlfn.XOR($N$16,R247)</f>
        <v>0</v>
      </c>
      <c r="S252" s="18"/>
      <c r="T252" s="18"/>
      <c r="U252" s="5">
        <f t="shared" si="134"/>
        <v>1</v>
      </c>
      <c r="V252" s="18"/>
      <c r="W252" s="19" t="b">
        <f t="shared" si="135"/>
        <v>1</v>
      </c>
      <c r="X252" t="b">
        <f t="shared" si="135"/>
        <v>1</v>
      </c>
      <c r="Y252" t="b">
        <f t="shared" si="135"/>
        <v>1</v>
      </c>
    </row>
    <row r="253" spans="2:25" ht="13">
      <c r="B253" s="19" t="b">
        <f t="shared" ref="B253:D254" si="136">AND($G249,(_xlfn.XOR(B249,NOT($G244))))</f>
        <v>1</v>
      </c>
      <c r="C253" s="19" t="b">
        <f t="shared" si="136"/>
        <v>1</v>
      </c>
      <c r="D253" s="19" t="b">
        <f t="shared" si="136"/>
        <v>0</v>
      </c>
      <c r="E253" s="18"/>
      <c r="F253" s="18"/>
      <c r="G253" s="18"/>
      <c r="H253" s="18" t="s">
        <v>144</v>
      </c>
      <c r="I253" s="19" t="b">
        <f t="shared" ref="I253:J255" si="137">AND($N249,(_xlfn.XOR(I249,NOT($N244))))</f>
        <v>1</v>
      </c>
      <c r="J253" s="19" t="b">
        <f t="shared" si="137"/>
        <v>0</v>
      </c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</row>
    <row r="254" spans="2:25" ht="13">
      <c r="B254" s="19" t="b">
        <f t="shared" si="136"/>
        <v>0</v>
      </c>
      <c r="C254" s="19" t="b">
        <f t="shared" si="136"/>
        <v>0</v>
      </c>
      <c r="D254" s="19" t="b">
        <f t="shared" si="136"/>
        <v>0</v>
      </c>
      <c r="E254" s="1" t="s">
        <v>147</v>
      </c>
      <c r="F254" s="18"/>
      <c r="G254" s="18"/>
      <c r="H254" s="18"/>
      <c r="I254" s="19" t="b">
        <f t="shared" si="137"/>
        <v>1</v>
      </c>
      <c r="J254" s="19" t="b">
        <f t="shared" si="137"/>
        <v>0</v>
      </c>
      <c r="K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</row>
    <row r="255" spans="2:25" ht="13">
      <c r="B255" s="18"/>
      <c r="C255" s="18"/>
      <c r="D255" s="18"/>
      <c r="E255" s="18"/>
      <c r="F255" s="18"/>
      <c r="G255" s="18"/>
      <c r="H255" s="18"/>
      <c r="I255" s="19" t="b">
        <f t="shared" si="137"/>
        <v>1</v>
      </c>
      <c r="J255" s="19" t="b">
        <f t="shared" si="137"/>
        <v>0</v>
      </c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</row>
    <row r="257" spans="2:25" ht="13">
      <c r="B257" s="4">
        <v>0</v>
      </c>
      <c r="C257" s="4">
        <v>0</v>
      </c>
      <c r="D257" s="4">
        <v>1</v>
      </c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</row>
    <row r="258" spans="2:25" ht="13">
      <c r="B258" s="37" t="s">
        <v>25</v>
      </c>
      <c r="C258" s="38"/>
      <c r="D258" s="38"/>
      <c r="E258" s="18" t="s">
        <v>24</v>
      </c>
      <c r="F258" s="18"/>
      <c r="G258" s="18" t="s">
        <v>127</v>
      </c>
      <c r="H258" s="18"/>
      <c r="I258" s="37" t="s">
        <v>23</v>
      </c>
      <c r="J258" s="38"/>
      <c r="K258" s="38"/>
      <c r="L258" s="18" t="s">
        <v>22</v>
      </c>
      <c r="M258" s="18"/>
      <c r="N258" s="18" t="s">
        <v>128</v>
      </c>
      <c r="O258" s="18"/>
      <c r="P258" s="37" t="s">
        <v>36</v>
      </c>
      <c r="Q258" s="38"/>
      <c r="R258" s="38"/>
      <c r="S258" s="18" t="s">
        <v>35</v>
      </c>
      <c r="T258" s="18"/>
      <c r="U258" s="18" t="s">
        <v>129</v>
      </c>
      <c r="V258" s="18" t="s">
        <v>130</v>
      </c>
      <c r="W258" s="18" t="s">
        <v>95</v>
      </c>
    </row>
    <row r="259" spans="2:25" ht="13">
      <c r="B259" s="5">
        <v>1</v>
      </c>
      <c r="C259" s="4">
        <v>1</v>
      </c>
      <c r="D259" s="4">
        <v>0</v>
      </c>
      <c r="E259" s="4">
        <v>3</v>
      </c>
      <c r="F259" s="18"/>
      <c r="G259" s="19" t="b">
        <f t="shared" ref="G259:G260" si="138">COUNTIF(B264:D264, TRUE)&gt;=E259</f>
        <v>1</v>
      </c>
      <c r="H259" s="18"/>
      <c r="I259" s="5">
        <v>1</v>
      </c>
      <c r="J259" s="5">
        <v>0</v>
      </c>
      <c r="K259" s="18"/>
      <c r="L259" s="5">
        <v>1</v>
      </c>
      <c r="M259" s="18"/>
      <c r="N259" s="19" t="b">
        <f t="shared" ref="N259:N261" si="139">COUNTIF(I264:J264, TRUE)&gt;=L259</f>
        <v>1</v>
      </c>
      <c r="O259" s="18"/>
      <c r="P259" s="5">
        <v>0</v>
      </c>
      <c r="Q259" s="4">
        <v>1</v>
      </c>
      <c r="R259" s="5">
        <v>0</v>
      </c>
      <c r="S259" s="5">
        <v>3</v>
      </c>
      <c r="T259" s="18"/>
      <c r="U259" s="19" t="b">
        <f t="shared" ref="U259:U262" si="140">COUNTIF(P264:R264, TRUE)&gt;=S259</f>
        <v>0</v>
      </c>
      <c r="V259" s="4">
        <v>0</v>
      </c>
      <c r="W259" s="19" t="b">
        <f>_xlfn.XOR(V259,U259)</f>
        <v>0</v>
      </c>
    </row>
    <row r="260" spans="2:25" ht="13">
      <c r="B260" s="5">
        <v>0</v>
      </c>
      <c r="C260" s="4">
        <v>1</v>
      </c>
      <c r="D260" s="4">
        <v>0</v>
      </c>
      <c r="E260" s="4">
        <v>2</v>
      </c>
      <c r="F260" s="18"/>
      <c r="G260" s="19" t="b">
        <f t="shared" si="138"/>
        <v>1</v>
      </c>
      <c r="H260" s="18"/>
      <c r="I260" s="5">
        <v>1</v>
      </c>
      <c r="J260" s="4">
        <v>0</v>
      </c>
      <c r="K260" s="18"/>
      <c r="L260" s="5">
        <f>L245+L250</f>
        <v>2</v>
      </c>
      <c r="M260" s="18"/>
      <c r="N260" s="19" t="b">
        <f t="shared" si="139"/>
        <v>0</v>
      </c>
      <c r="O260" s="18"/>
      <c r="P260" s="5">
        <v>1</v>
      </c>
      <c r="Q260" s="5">
        <v>0</v>
      </c>
      <c r="R260" s="5">
        <v>0</v>
      </c>
      <c r="S260" s="5">
        <v>3</v>
      </c>
      <c r="T260" s="18"/>
      <c r="U260" s="19" t="b">
        <f t="shared" si="140"/>
        <v>0</v>
      </c>
      <c r="V260" s="4">
        <v>1</v>
      </c>
      <c r="W260" s="19" t="b">
        <f>_xlfn.XOR(V260,U260)</f>
        <v>1</v>
      </c>
    </row>
    <row r="261" spans="2:25" ht="13">
      <c r="B261" s="18"/>
      <c r="C261" s="18"/>
      <c r="D261" s="18"/>
      <c r="E261" s="18"/>
      <c r="F261" s="18"/>
      <c r="G261" s="18"/>
      <c r="H261" s="18"/>
      <c r="I261" s="5">
        <v>1</v>
      </c>
      <c r="J261" s="4">
        <v>0</v>
      </c>
      <c r="K261" s="18"/>
      <c r="L261" s="4">
        <v>1</v>
      </c>
      <c r="M261" s="18"/>
      <c r="N261" s="19" t="b">
        <f t="shared" si="139"/>
        <v>1</v>
      </c>
      <c r="O261" s="18"/>
      <c r="P261" s="5">
        <v>0</v>
      </c>
      <c r="Q261" s="5">
        <v>0</v>
      </c>
      <c r="R261" s="5">
        <v>0</v>
      </c>
      <c r="S261" s="5">
        <v>3</v>
      </c>
      <c r="T261" s="18"/>
      <c r="U261" s="19" t="b">
        <f t="shared" si="140"/>
        <v>0</v>
      </c>
      <c r="V261" s="4">
        <v>0</v>
      </c>
      <c r="W261" s="19" t="b">
        <f>_xlfn.XOR(V261,U261)</f>
        <v>0</v>
      </c>
    </row>
    <row r="262" spans="2:25" ht="13"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5">
        <v>0</v>
      </c>
      <c r="Q262" s="5">
        <v>0</v>
      </c>
      <c r="R262" s="5">
        <v>0</v>
      </c>
      <c r="S262" s="5">
        <v>3</v>
      </c>
      <c r="T262" s="18"/>
      <c r="U262" s="19" t="b">
        <f t="shared" si="140"/>
        <v>0</v>
      </c>
      <c r="V262" s="4">
        <v>0</v>
      </c>
      <c r="W262" s="19" t="b">
        <f>_xlfn.XOR(V262,U262)</f>
        <v>0</v>
      </c>
    </row>
    <row r="263" spans="2:25" ht="13">
      <c r="B263" s="18"/>
      <c r="C263" s="18"/>
      <c r="D263" s="18"/>
      <c r="E263" s="1" t="s">
        <v>146</v>
      </c>
      <c r="F263" s="18"/>
      <c r="G263" s="18" t="s">
        <v>55</v>
      </c>
      <c r="H263" s="18"/>
      <c r="I263" s="18"/>
      <c r="J263" s="18"/>
      <c r="K263" s="18"/>
      <c r="L263" s="1" t="s">
        <v>141</v>
      </c>
      <c r="M263" s="18"/>
      <c r="N263" s="18" t="s">
        <v>142</v>
      </c>
      <c r="O263" s="18"/>
      <c r="P263" s="18"/>
      <c r="Q263" s="18"/>
      <c r="R263" s="18"/>
      <c r="S263" s="18"/>
      <c r="T263" s="18"/>
      <c r="U263" s="18" t="s">
        <v>133</v>
      </c>
      <c r="V263" s="18"/>
      <c r="W263" s="18" t="s">
        <v>138</v>
      </c>
    </row>
    <row r="264" spans="2:25" ht="13">
      <c r="B264" s="19" t="b">
        <f>_xlfn.XOR(B259,B257)</f>
        <v>1</v>
      </c>
      <c r="C264" s="19" t="b">
        <f>_xlfn.XOR(C259,C257)</f>
        <v>1</v>
      </c>
      <c r="D264" s="19" t="b">
        <f>_xlfn.XOR(D259,D257)</f>
        <v>1</v>
      </c>
      <c r="E264">
        <f t="shared" ref="E264:E265" si="141">IF(G264,IF(G259,1,-1),0)</f>
        <v>0</v>
      </c>
      <c r="F264" s="18"/>
      <c r="G264" s="19" t="b">
        <f>OR(I268:I270)</f>
        <v>0</v>
      </c>
      <c r="H264" s="18"/>
      <c r="I264" s="19" t="b">
        <f>_xlfn.XOR($G$14,I259)</f>
        <v>1</v>
      </c>
      <c r="J264" s="19" t="b">
        <f>_xlfn.XOR($G$15,J259)</f>
        <v>0</v>
      </c>
      <c r="K264" s="18"/>
      <c r="L264">
        <f t="shared" ref="L264:L266" si="142">IF(N264,IF(N259,1,-1),0)</f>
        <v>0</v>
      </c>
      <c r="M264" s="18"/>
      <c r="N264" s="19" t="b">
        <f t="shared" ref="N264:N266" si="143">OR(W264:W267)</f>
        <v>0</v>
      </c>
      <c r="O264" s="18"/>
      <c r="P264" s="19" t="b">
        <f>_xlfn.XOR($N$14,P259)</f>
        <v>0</v>
      </c>
      <c r="Q264" s="19" t="b">
        <f>_xlfn.XOR($N$15,Q259)</f>
        <v>1</v>
      </c>
      <c r="R264" s="19" t="b">
        <f>_xlfn.XOR($N$16,R259)</f>
        <v>0</v>
      </c>
      <c r="S264" s="18"/>
      <c r="T264" s="18"/>
      <c r="U264" s="5">
        <f t="shared" ref="U264:U267" si="144">IF(W259,IF(V259,1,-1),0)</f>
        <v>0</v>
      </c>
      <c r="V264" s="18"/>
      <c r="W264" s="19" t="b">
        <f t="shared" ref="W264:Y267" si="145">AND($W259,(_xlfn.XOR(P264,NOT($U259))))</f>
        <v>0</v>
      </c>
      <c r="X264" t="b">
        <f t="shared" si="145"/>
        <v>0</v>
      </c>
      <c r="Y264" t="b">
        <f t="shared" si="145"/>
        <v>0</v>
      </c>
    </row>
    <row r="265" spans="2:25" ht="13">
      <c r="B265" s="19" t="b">
        <f>_xlfn.XOR(B260,B257)</f>
        <v>0</v>
      </c>
      <c r="C265" s="19" t="b">
        <f>_xlfn.XOR(C260,C257)</f>
        <v>1</v>
      </c>
      <c r="D265" s="19" t="b">
        <f>_xlfn.XOR(D260,D257)</f>
        <v>1</v>
      </c>
      <c r="E265">
        <f t="shared" si="141"/>
        <v>0</v>
      </c>
      <c r="F265" s="18"/>
      <c r="G265" s="19" t="b">
        <f>OR(J268:J270)</f>
        <v>0</v>
      </c>
      <c r="H265" s="18"/>
      <c r="I265" s="19" t="b">
        <f>_xlfn.XOR($G$14,I260)</f>
        <v>1</v>
      </c>
      <c r="J265" s="19" t="b">
        <f>_xlfn.XOR($G$15,J260)</f>
        <v>0</v>
      </c>
      <c r="K265" s="18"/>
      <c r="L265">
        <f t="shared" si="142"/>
        <v>0</v>
      </c>
      <c r="M265" s="18"/>
      <c r="N265" s="19" t="b">
        <f t="shared" si="143"/>
        <v>0</v>
      </c>
      <c r="O265" s="18"/>
      <c r="P265" s="19" t="b">
        <f>_xlfn.XOR($N$14,P260)</f>
        <v>1</v>
      </c>
      <c r="Q265" s="19" t="b">
        <f>_xlfn.XOR($N$15,Q260)</f>
        <v>0</v>
      </c>
      <c r="R265" s="19" t="b">
        <f>_xlfn.XOR($N$16,R260)</f>
        <v>0</v>
      </c>
      <c r="S265" s="18"/>
      <c r="T265" s="18"/>
      <c r="U265" s="5">
        <f t="shared" si="144"/>
        <v>1</v>
      </c>
      <c r="V265" s="18"/>
      <c r="W265" s="19" t="b">
        <f t="shared" si="145"/>
        <v>0</v>
      </c>
      <c r="X265" t="b">
        <f t="shared" si="145"/>
        <v>1</v>
      </c>
      <c r="Y265" t="b">
        <f t="shared" si="145"/>
        <v>1</v>
      </c>
    </row>
    <row r="266" spans="2:25" ht="13">
      <c r="B266" s="18"/>
      <c r="C266" s="18"/>
      <c r="D266" s="18"/>
      <c r="E266" s="18"/>
      <c r="F266" s="18"/>
      <c r="G266" s="18"/>
      <c r="H266" s="18"/>
      <c r="I266" s="19" t="b">
        <f>_xlfn.XOR($G$14,I261)</f>
        <v>1</v>
      </c>
      <c r="J266" s="19" t="b">
        <f>_xlfn.XOR($G$15,J261)</f>
        <v>0</v>
      </c>
      <c r="K266" s="18"/>
      <c r="L266">
        <f t="shared" si="142"/>
        <v>0</v>
      </c>
      <c r="M266" s="18"/>
      <c r="N266" s="19" t="b">
        <f t="shared" si="143"/>
        <v>0</v>
      </c>
      <c r="O266" s="18"/>
      <c r="P266" s="19" t="b">
        <f>_xlfn.XOR($N$14,P261)</f>
        <v>0</v>
      </c>
      <c r="Q266" s="19" t="b">
        <f>_xlfn.XOR($N$15,Q261)</f>
        <v>0</v>
      </c>
      <c r="R266" s="19" t="b">
        <f>_xlfn.XOR($N$16,R261)</f>
        <v>0</v>
      </c>
      <c r="S266" s="18"/>
      <c r="T266" s="18"/>
      <c r="U266" s="5">
        <f t="shared" si="144"/>
        <v>0</v>
      </c>
      <c r="V266" s="18"/>
      <c r="W266" s="19" t="b">
        <f t="shared" si="145"/>
        <v>0</v>
      </c>
      <c r="X266" t="b">
        <f t="shared" si="145"/>
        <v>0</v>
      </c>
      <c r="Y266" t="b">
        <f t="shared" si="145"/>
        <v>0</v>
      </c>
    </row>
    <row r="267" spans="2:25" ht="13">
      <c r="B267" s="18" t="s">
        <v>149</v>
      </c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9" t="b">
        <f>_xlfn.XOR($N$14,P262)</f>
        <v>0</v>
      </c>
      <c r="Q267" s="19" t="b">
        <f>_xlfn.XOR($N$15,Q262)</f>
        <v>0</v>
      </c>
      <c r="R267" s="19" t="b">
        <f>_xlfn.XOR($N$16,R262)</f>
        <v>0</v>
      </c>
      <c r="S267" s="18"/>
      <c r="T267" s="18"/>
      <c r="U267" s="5">
        <f t="shared" si="144"/>
        <v>0</v>
      </c>
      <c r="V267" s="18"/>
      <c r="W267" s="19" t="b">
        <f t="shared" si="145"/>
        <v>0</v>
      </c>
      <c r="X267" t="b">
        <f t="shared" si="145"/>
        <v>0</v>
      </c>
      <c r="Y267" t="b">
        <f t="shared" si="145"/>
        <v>0</v>
      </c>
    </row>
    <row r="268" spans="2:25" ht="13">
      <c r="B268" s="19" t="b">
        <f t="shared" ref="B268:D269" si="146">AND($G264,(_xlfn.XOR(B264,NOT($G259))))</f>
        <v>0</v>
      </c>
      <c r="C268" s="19" t="b">
        <f t="shared" si="146"/>
        <v>0</v>
      </c>
      <c r="D268" s="19" t="b">
        <f t="shared" si="146"/>
        <v>0</v>
      </c>
      <c r="E268" s="18"/>
      <c r="F268" s="18"/>
      <c r="G268" s="18"/>
      <c r="H268" s="18" t="s">
        <v>144</v>
      </c>
      <c r="I268" s="19" t="b">
        <f t="shared" ref="I268:J270" si="147">AND($N264,(_xlfn.XOR(I264,NOT($N259))))</f>
        <v>0</v>
      </c>
      <c r="J268" s="19" t="b">
        <f t="shared" si="147"/>
        <v>0</v>
      </c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</row>
    <row r="269" spans="2:25" ht="13">
      <c r="B269" s="19" t="b">
        <f t="shared" si="146"/>
        <v>0</v>
      </c>
      <c r="C269" s="19" t="b">
        <f t="shared" si="146"/>
        <v>0</v>
      </c>
      <c r="D269" s="19" t="b">
        <f t="shared" si="146"/>
        <v>0</v>
      </c>
      <c r="E269" s="1" t="s">
        <v>176</v>
      </c>
      <c r="F269" s="18"/>
      <c r="G269" s="18"/>
      <c r="H269" s="18"/>
      <c r="I269" s="19" t="b">
        <f t="shared" si="147"/>
        <v>0</v>
      </c>
      <c r="J269" s="19" t="b">
        <f t="shared" si="147"/>
        <v>0</v>
      </c>
      <c r="K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</row>
    <row r="270" spans="2:25" ht="13">
      <c r="B270" s="18"/>
      <c r="C270" s="18"/>
      <c r="D270" s="18"/>
      <c r="E270" s="18"/>
      <c r="F270" s="18"/>
      <c r="G270" s="18"/>
      <c r="H270" s="18"/>
      <c r="I270" s="19" t="b">
        <f t="shared" si="147"/>
        <v>0</v>
      </c>
      <c r="J270" s="19" t="b">
        <f t="shared" si="147"/>
        <v>0</v>
      </c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</row>
    <row r="272" spans="2:25" ht="13">
      <c r="B272" s="4">
        <v>0</v>
      </c>
      <c r="C272" s="4">
        <v>1</v>
      </c>
      <c r="D272" s="4">
        <v>0</v>
      </c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</row>
    <row r="273" spans="2:25" ht="13">
      <c r="B273" s="37" t="s">
        <v>25</v>
      </c>
      <c r="C273" s="38"/>
      <c r="D273" s="38"/>
      <c r="E273" s="18" t="s">
        <v>24</v>
      </c>
      <c r="F273" s="18"/>
      <c r="G273" s="18" t="s">
        <v>127</v>
      </c>
      <c r="H273" s="18"/>
      <c r="I273" s="37" t="s">
        <v>23</v>
      </c>
      <c r="J273" s="38"/>
      <c r="K273" s="38"/>
      <c r="L273" s="18" t="s">
        <v>22</v>
      </c>
      <c r="M273" s="18"/>
      <c r="N273" s="18" t="s">
        <v>128</v>
      </c>
      <c r="O273" s="18"/>
      <c r="P273" s="37" t="s">
        <v>36</v>
      </c>
      <c r="Q273" s="38"/>
      <c r="R273" s="38"/>
      <c r="S273" s="18" t="s">
        <v>35</v>
      </c>
      <c r="T273" s="18"/>
      <c r="U273" s="18" t="s">
        <v>129</v>
      </c>
      <c r="V273" s="18" t="s">
        <v>130</v>
      </c>
      <c r="W273" s="18" t="s">
        <v>95</v>
      </c>
    </row>
    <row r="274" spans="2:25" ht="13">
      <c r="B274" s="5">
        <v>1</v>
      </c>
      <c r="C274" s="4">
        <v>1</v>
      </c>
      <c r="D274" s="4">
        <v>0</v>
      </c>
      <c r="E274" s="4">
        <v>3</v>
      </c>
      <c r="F274" s="18"/>
      <c r="G274" s="19" t="b">
        <f t="shared" ref="G274:G275" si="148">COUNTIF(B279:D279, TRUE)&gt;=E274</f>
        <v>0</v>
      </c>
      <c r="H274" s="18"/>
      <c r="I274" s="5">
        <v>1</v>
      </c>
      <c r="J274" s="5">
        <v>0</v>
      </c>
      <c r="K274" s="18"/>
      <c r="L274" s="5">
        <v>1</v>
      </c>
      <c r="M274" s="18"/>
      <c r="N274" s="19" t="b">
        <f t="shared" ref="N274:N276" si="149">COUNTIF(I279:J279, TRUE)&gt;=L274</f>
        <v>1</v>
      </c>
      <c r="O274" s="18"/>
      <c r="P274" s="5">
        <v>0</v>
      </c>
      <c r="Q274" s="4">
        <v>1</v>
      </c>
      <c r="R274" s="5">
        <v>0</v>
      </c>
      <c r="S274" s="5">
        <v>3</v>
      </c>
      <c r="T274" s="18"/>
      <c r="U274" s="19" t="b">
        <f t="shared" ref="U274:U277" si="150">COUNTIF(P279:R279, TRUE)&gt;=S274</f>
        <v>0</v>
      </c>
      <c r="V274" s="4">
        <v>0</v>
      </c>
      <c r="W274" s="19" t="b">
        <f>_xlfn.XOR(V274,U274)</f>
        <v>0</v>
      </c>
    </row>
    <row r="275" spans="2:25" ht="13">
      <c r="B275" s="5">
        <v>0</v>
      </c>
      <c r="C275" s="4">
        <v>1</v>
      </c>
      <c r="D275" s="4">
        <v>0</v>
      </c>
      <c r="E275" s="4">
        <v>2</v>
      </c>
      <c r="F275" s="18"/>
      <c r="G275" s="19" t="b">
        <f t="shared" si="148"/>
        <v>0</v>
      </c>
      <c r="H275" s="18"/>
      <c r="I275" s="5">
        <v>1</v>
      </c>
      <c r="J275" s="4">
        <v>0</v>
      </c>
      <c r="K275" s="18"/>
      <c r="L275" s="5">
        <f>L260+L265</f>
        <v>2</v>
      </c>
      <c r="M275" s="18"/>
      <c r="N275" s="19" t="b">
        <f t="shared" si="149"/>
        <v>0</v>
      </c>
      <c r="O275" s="18"/>
      <c r="P275" s="5">
        <v>1</v>
      </c>
      <c r="Q275" s="5">
        <v>0</v>
      </c>
      <c r="R275" s="5">
        <v>0</v>
      </c>
      <c r="S275" s="5">
        <v>3</v>
      </c>
      <c r="T275" s="18"/>
      <c r="U275" s="19" t="b">
        <f t="shared" si="150"/>
        <v>0</v>
      </c>
      <c r="V275" s="4">
        <v>1</v>
      </c>
      <c r="W275" s="19" t="b">
        <f>_xlfn.XOR(V275,U275)</f>
        <v>1</v>
      </c>
    </row>
    <row r="276" spans="2:25" ht="13">
      <c r="B276" s="18"/>
      <c r="C276" s="18"/>
      <c r="D276" s="18"/>
      <c r="E276" s="18"/>
      <c r="F276" s="18"/>
      <c r="G276" s="18"/>
      <c r="H276" s="18"/>
      <c r="I276" s="5">
        <v>1</v>
      </c>
      <c r="J276" s="4">
        <v>0</v>
      </c>
      <c r="K276" s="18"/>
      <c r="L276" s="4">
        <v>1</v>
      </c>
      <c r="M276" s="18"/>
      <c r="N276" s="19" t="b">
        <f t="shared" si="149"/>
        <v>1</v>
      </c>
      <c r="O276" s="18"/>
      <c r="P276" s="5">
        <v>0</v>
      </c>
      <c r="Q276" s="5">
        <v>0</v>
      </c>
      <c r="R276" s="5">
        <v>0</v>
      </c>
      <c r="S276" s="5">
        <v>3</v>
      </c>
      <c r="T276" s="18"/>
      <c r="U276" s="19" t="b">
        <f t="shared" si="150"/>
        <v>0</v>
      </c>
      <c r="V276" s="4">
        <v>1</v>
      </c>
      <c r="W276" s="19" t="b">
        <f>_xlfn.XOR(V276,U276)</f>
        <v>1</v>
      </c>
    </row>
    <row r="277" spans="2:25" ht="13"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5">
        <v>0</v>
      </c>
      <c r="Q277" s="5">
        <v>0</v>
      </c>
      <c r="R277" s="5">
        <v>0</v>
      </c>
      <c r="S277" s="5">
        <v>3</v>
      </c>
      <c r="T277" s="18"/>
      <c r="U277" s="19" t="b">
        <f t="shared" si="150"/>
        <v>0</v>
      </c>
      <c r="V277" s="4">
        <v>1</v>
      </c>
      <c r="W277" s="19" t="b">
        <f>_xlfn.XOR(V277,U277)</f>
        <v>1</v>
      </c>
    </row>
    <row r="278" spans="2:25" ht="13">
      <c r="B278" s="18"/>
      <c r="C278" s="18"/>
      <c r="D278" s="18"/>
      <c r="E278" s="1" t="s">
        <v>146</v>
      </c>
      <c r="F278" s="18"/>
      <c r="G278" s="18" t="s">
        <v>55</v>
      </c>
      <c r="H278" s="18"/>
      <c r="I278" s="18"/>
      <c r="J278" s="18"/>
      <c r="K278" s="18"/>
      <c r="L278" s="1" t="s">
        <v>141</v>
      </c>
      <c r="M278" s="18"/>
      <c r="N278" s="18" t="s">
        <v>142</v>
      </c>
      <c r="O278" s="18"/>
      <c r="P278" s="18"/>
      <c r="Q278" s="18"/>
      <c r="R278" s="18"/>
      <c r="S278" s="18"/>
      <c r="T278" s="18"/>
      <c r="U278" s="18" t="s">
        <v>133</v>
      </c>
      <c r="V278" s="18"/>
      <c r="W278" s="18" t="s">
        <v>138</v>
      </c>
    </row>
    <row r="279" spans="2:25" ht="13">
      <c r="B279" s="19" t="b">
        <f>_xlfn.XOR(B274,B272)</f>
        <v>1</v>
      </c>
      <c r="C279" s="19" t="b">
        <f>_xlfn.XOR(C274,C272)</f>
        <v>0</v>
      </c>
      <c r="D279" s="19" t="b">
        <f>_xlfn.XOR(D274,D272)</f>
        <v>0</v>
      </c>
      <c r="E279">
        <f t="shared" ref="E279:E280" si="151">IF(G279,IF(G274,1,-1),0)</f>
        <v>-1</v>
      </c>
      <c r="F279" s="18"/>
      <c r="G279" s="19" t="b">
        <f>OR(I283:I285)</f>
        <v>1</v>
      </c>
      <c r="H279" s="18"/>
      <c r="I279" s="19" t="b">
        <f>_xlfn.XOR($G$14,I274)</f>
        <v>1</v>
      </c>
      <c r="J279" s="19" t="b">
        <f>_xlfn.XOR($G$15,J274)</f>
        <v>0</v>
      </c>
      <c r="K279" s="18"/>
      <c r="L279">
        <f t="shared" ref="L279:L281" si="152">IF(N279,IF(N274,1,-1),0)</f>
        <v>1</v>
      </c>
      <c r="M279" s="18"/>
      <c r="N279" s="19" t="b">
        <f t="shared" ref="N279:N281" si="153">OR(W279:W282)</f>
        <v>1</v>
      </c>
      <c r="O279" s="18"/>
      <c r="P279" s="19" t="b">
        <f>_xlfn.XOR($N$14,P274)</f>
        <v>0</v>
      </c>
      <c r="Q279" s="19" t="b">
        <f>_xlfn.XOR($N$15,Q274)</f>
        <v>1</v>
      </c>
      <c r="R279" s="19" t="b">
        <f>_xlfn.XOR($N$16,R274)</f>
        <v>0</v>
      </c>
      <c r="S279" s="18"/>
      <c r="T279" s="18"/>
      <c r="U279" s="5">
        <f t="shared" ref="U279:U282" si="154">IF(W274,IF(V274,1,-1),0)</f>
        <v>0</v>
      </c>
      <c r="V279" s="18"/>
      <c r="W279" s="19" t="b">
        <f t="shared" ref="W279:Y282" si="155">AND($W274,(_xlfn.XOR(P279,NOT($U274))))</f>
        <v>0</v>
      </c>
      <c r="X279" t="b">
        <f t="shared" si="155"/>
        <v>0</v>
      </c>
      <c r="Y279" t="b">
        <f t="shared" si="155"/>
        <v>0</v>
      </c>
    </row>
    <row r="280" spans="2:25" ht="13">
      <c r="B280" s="19" t="b">
        <f>_xlfn.XOR(B275,B272)</f>
        <v>0</v>
      </c>
      <c r="C280" s="19" t="b">
        <f>_xlfn.XOR(C275,C272)</f>
        <v>0</v>
      </c>
      <c r="D280" s="19" t="b">
        <f>_xlfn.XOR(D275,D272)</f>
        <v>0</v>
      </c>
      <c r="E280">
        <f t="shared" si="151"/>
        <v>-1</v>
      </c>
      <c r="F280" s="18"/>
      <c r="G280" s="19" t="b">
        <f>OR(J283:J285)</f>
        <v>1</v>
      </c>
      <c r="H280" s="18"/>
      <c r="I280" s="19" t="b">
        <f>_xlfn.XOR($G$14,I275)</f>
        <v>1</v>
      </c>
      <c r="J280" s="19" t="b">
        <f>_xlfn.XOR($G$15,J275)</f>
        <v>0</v>
      </c>
      <c r="K280" s="18"/>
      <c r="L280">
        <f t="shared" si="152"/>
        <v>-1</v>
      </c>
      <c r="M280" s="18"/>
      <c r="N280" s="19" t="b">
        <f t="shared" si="153"/>
        <v>1</v>
      </c>
      <c r="O280" s="18"/>
      <c r="P280" s="19" t="b">
        <f>_xlfn.XOR($N$14,P275)</f>
        <v>1</v>
      </c>
      <c r="Q280" s="19" t="b">
        <f>_xlfn.XOR($N$15,Q275)</f>
        <v>0</v>
      </c>
      <c r="R280" s="19" t="b">
        <f>_xlfn.XOR($N$16,R275)</f>
        <v>0</v>
      </c>
      <c r="S280" s="18"/>
      <c r="T280" s="18"/>
      <c r="U280" s="5">
        <f t="shared" si="154"/>
        <v>1</v>
      </c>
      <c r="V280" s="18"/>
      <c r="W280" s="19" t="b">
        <f t="shared" si="155"/>
        <v>0</v>
      </c>
      <c r="X280" t="b">
        <f t="shared" si="155"/>
        <v>1</v>
      </c>
      <c r="Y280" t="b">
        <f t="shared" si="155"/>
        <v>1</v>
      </c>
    </row>
    <row r="281" spans="2:25" ht="13">
      <c r="B281" s="18"/>
      <c r="C281" s="18"/>
      <c r="D281" s="18"/>
      <c r="E281" s="18"/>
      <c r="F281" s="18"/>
      <c r="G281" s="18"/>
      <c r="H281" s="18"/>
      <c r="I281" s="19" t="b">
        <f>_xlfn.XOR($G$14,I276)</f>
        <v>1</v>
      </c>
      <c r="J281" s="19" t="b">
        <f>_xlfn.XOR($G$15,J276)</f>
        <v>0</v>
      </c>
      <c r="K281" s="18"/>
      <c r="L281">
        <f t="shared" si="152"/>
        <v>1</v>
      </c>
      <c r="M281" s="18"/>
      <c r="N281" s="19" t="b">
        <f t="shared" si="153"/>
        <v>1</v>
      </c>
      <c r="O281" s="18"/>
      <c r="P281" s="19" t="b">
        <f>_xlfn.XOR($N$14,P276)</f>
        <v>0</v>
      </c>
      <c r="Q281" s="19" t="b">
        <f>_xlfn.XOR($N$15,Q276)</f>
        <v>0</v>
      </c>
      <c r="R281" s="19" t="b">
        <f>_xlfn.XOR($N$16,R276)</f>
        <v>0</v>
      </c>
      <c r="S281" s="18"/>
      <c r="T281" s="18"/>
      <c r="U281" s="5">
        <f t="shared" si="154"/>
        <v>1</v>
      </c>
      <c r="V281" s="18"/>
      <c r="W281" s="19" t="b">
        <f t="shared" si="155"/>
        <v>1</v>
      </c>
      <c r="X281" t="b">
        <f t="shared" si="155"/>
        <v>1</v>
      </c>
      <c r="Y281" t="b">
        <f t="shared" si="155"/>
        <v>1</v>
      </c>
    </row>
    <row r="282" spans="2:25" ht="13">
      <c r="B282" s="18" t="s">
        <v>149</v>
      </c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9" t="b">
        <f>_xlfn.XOR($N$14,P277)</f>
        <v>0</v>
      </c>
      <c r="Q282" s="19" t="b">
        <f>_xlfn.XOR($N$15,Q277)</f>
        <v>0</v>
      </c>
      <c r="R282" s="19" t="b">
        <f>_xlfn.XOR($N$16,R277)</f>
        <v>0</v>
      </c>
      <c r="S282" s="18"/>
      <c r="T282" s="18"/>
      <c r="U282" s="5">
        <f t="shared" si="154"/>
        <v>1</v>
      </c>
      <c r="V282" s="18"/>
      <c r="W282" s="19" t="b">
        <f t="shared" si="155"/>
        <v>1</v>
      </c>
      <c r="X282" t="b">
        <f t="shared" si="155"/>
        <v>1</v>
      </c>
      <c r="Y282" t="b">
        <f t="shared" si="155"/>
        <v>1</v>
      </c>
    </row>
    <row r="283" spans="2:25" ht="13">
      <c r="B283" s="19" t="b">
        <f t="shared" ref="B283:D284" si="156">AND($G279,(_xlfn.XOR(B279,NOT($G274))))</f>
        <v>0</v>
      </c>
      <c r="C283" s="19" t="b">
        <f t="shared" si="156"/>
        <v>1</v>
      </c>
      <c r="D283" s="19" t="b">
        <f t="shared" si="156"/>
        <v>1</v>
      </c>
      <c r="E283" s="18"/>
      <c r="F283" s="18"/>
      <c r="G283" s="18"/>
      <c r="H283" s="18" t="s">
        <v>144</v>
      </c>
      <c r="I283" s="19" t="b">
        <f t="shared" ref="I283:J285" si="157">AND($N279,(_xlfn.XOR(I279,NOT($N274))))</f>
        <v>1</v>
      </c>
      <c r="J283" s="19" t="b">
        <f t="shared" si="157"/>
        <v>0</v>
      </c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</row>
    <row r="284" spans="2:25" ht="13">
      <c r="B284" s="19" t="b">
        <f t="shared" si="156"/>
        <v>1</v>
      </c>
      <c r="C284" s="19" t="b">
        <f t="shared" si="156"/>
        <v>1</v>
      </c>
      <c r="D284" s="19" t="b">
        <f t="shared" si="156"/>
        <v>1</v>
      </c>
      <c r="E284" s="1" t="s">
        <v>176</v>
      </c>
      <c r="F284" s="18"/>
      <c r="G284" s="18"/>
      <c r="H284" s="18"/>
      <c r="I284" s="19" t="b">
        <f t="shared" si="157"/>
        <v>0</v>
      </c>
      <c r="J284" s="19" t="b">
        <f t="shared" si="157"/>
        <v>1</v>
      </c>
      <c r="K284" s="18"/>
      <c r="M284" s="18"/>
      <c r="N284" s="18"/>
      <c r="O284" s="18"/>
      <c r="P284" s="18"/>
      <c r="Q284" s="18"/>
      <c r="R284" s="18"/>
      <c r="S284" s="18"/>
      <c r="T284" s="1" t="s">
        <v>170</v>
      </c>
      <c r="U284" s="18"/>
      <c r="V284" s="18"/>
      <c r="W284" s="18"/>
    </row>
    <row r="285" spans="2:25" ht="13">
      <c r="B285" s="18"/>
      <c r="C285" s="18"/>
      <c r="D285" s="18"/>
      <c r="E285" s="18"/>
      <c r="F285" s="18"/>
      <c r="G285" s="18"/>
      <c r="H285" s="18"/>
      <c r="I285" s="19" t="b">
        <f t="shared" si="157"/>
        <v>1</v>
      </c>
      <c r="J285" s="19" t="b">
        <f t="shared" si="157"/>
        <v>0</v>
      </c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</row>
    <row r="287" spans="2:25" ht="13">
      <c r="B287" s="4">
        <v>0</v>
      </c>
      <c r="C287" s="4">
        <v>1</v>
      </c>
      <c r="D287" s="4">
        <v>1</v>
      </c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</row>
    <row r="288" spans="2:25" ht="13">
      <c r="B288" s="37" t="s">
        <v>25</v>
      </c>
      <c r="C288" s="38"/>
      <c r="D288" s="38"/>
      <c r="E288" s="18" t="s">
        <v>24</v>
      </c>
      <c r="F288" s="18"/>
      <c r="G288" s="18" t="s">
        <v>127</v>
      </c>
      <c r="H288" s="18"/>
      <c r="I288" s="37" t="s">
        <v>23</v>
      </c>
      <c r="J288" s="38"/>
      <c r="K288" s="38"/>
      <c r="L288" s="18" t="s">
        <v>22</v>
      </c>
      <c r="M288" s="18"/>
      <c r="N288" s="18" t="s">
        <v>128</v>
      </c>
      <c r="O288" s="18"/>
      <c r="P288" s="37" t="s">
        <v>36</v>
      </c>
      <c r="Q288" s="38"/>
      <c r="R288" s="38"/>
      <c r="S288" s="18" t="s">
        <v>35</v>
      </c>
      <c r="T288" s="18"/>
      <c r="U288" s="18" t="s">
        <v>129</v>
      </c>
      <c r="V288" s="18" t="s">
        <v>130</v>
      </c>
      <c r="W288" s="18" t="s">
        <v>95</v>
      </c>
    </row>
    <row r="289" spans="2:25" ht="13">
      <c r="B289" s="5">
        <v>1</v>
      </c>
      <c r="C289" s="4">
        <v>1</v>
      </c>
      <c r="D289" s="4">
        <v>0</v>
      </c>
      <c r="E289" s="4">
        <v>3</v>
      </c>
      <c r="F289" s="18"/>
      <c r="G289" s="19" t="b">
        <f t="shared" ref="G289:G290" si="158">COUNTIF(B294:D294, TRUE)&gt;=E289</f>
        <v>0</v>
      </c>
      <c r="H289" s="18"/>
      <c r="I289" s="5">
        <v>1</v>
      </c>
      <c r="J289" s="5">
        <v>0</v>
      </c>
      <c r="K289" s="18"/>
      <c r="L289" s="5">
        <v>1</v>
      </c>
      <c r="M289" s="18"/>
      <c r="N289" s="19" t="b">
        <f t="shared" ref="N289:N291" si="159">COUNTIF(I294:J294, TRUE)&gt;=L289</f>
        <v>1</v>
      </c>
      <c r="O289" s="18"/>
      <c r="P289" s="5">
        <v>0</v>
      </c>
      <c r="Q289" s="4">
        <v>1</v>
      </c>
      <c r="R289" s="5">
        <v>0</v>
      </c>
      <c r="S289" s="5">
        <v>3</v>
      </c>
      <c r="T289" s="18"/>
      <c r="U289" s="19" t="b">
        <f t="shared" ref="U289:U292" si="160">COUNTIF(P294:R294, TRUE)&gt;=S289</f>
        <v>0</v>
      </c>
      <c r="V289" s="4">
        <v>1</v>
      </c>
      <c r="W289" s="19" t="b">
        <f>_xlfn.XOR(V289,U289)</f>
        <v>1</v>
      </c>
    </row>
    <row r="290" spans="2:25" ht="13">
      <c r="B290" s="5">
        <v>0</v>
      </c>
      <c r="C290" s="4">
        <v>1</v>
      </c>
      <c r="D290" s="4">
        <v>0</v>
      </c>
      <c r="E290" s="4">
        <v>2</v>
      </c>
      <c r="F290" s="18"/>
      <c r="G290" s="19" t="b">
        <f t="shared" si="158"/>
        <v>0</v>
      </c>
      <c r="H290" s="18"/>
      <c r="I290" s="5">
        <v>1</v>
      </c>
      <c r="J290" s="4">
        <v>0</v>
      </c>
      <c r="K290" s="18"/>
      <c r="L290" s="5">
        <f>L275+L280</f>
        <v>1</v>
      </c>
      <c r="M290" s="18"/>
      <c r="N290" s="19" t="b">
        <f t="shared" si="159"/>
        <v>1</v>
      </c>
      <c r="O290" s="18"/>
      <c r="P290" s="5">
        <v>1</v>
      </c>
      <c r="Q290" s="5">
        <v>0</v>
      </c>
      <c r="R290" s="5">
        <v>0</v>
      </c>
      <c r="S290" s="5">
        <v>3</v>
      </c>
      <c r="T290" s="18"/>
      <c r="U290" s="19" t="b">
        <f t="shared" si="160"/>
        <v>0</v>
      </c>
      <c r="V290" s="4">
        <v>1</v>
      </c>
      <c r="W290" s="19" t="b">
        <f>_xlfn.XOR(V290,U290)</f>
        <v>1</v>
      </c>
    </row>
    <row r="291" spans="2:25" ht="13">
      <c r="B291" s="18"/>
      <c r="C291" s="18"/>
      <c r="D291" s="18"/>
      <c r="E291" s="18"/>
      <c r="F291" s="18"/>
      <c r="G291" s="18"/>
      <c r="H291" s="18"/>
      <c r="I291" s="5">
        <v>1</v>
      </c>
      <c r="J291" s="4">
        <v>0</v>
      </c>
      <c r="K291" s="18"/>
      <c r="L291" s="4">
        <v>1</v>
      </c>
      <c r="M291" s="18"/>
      <c r="N291" s="19" t="b">
        <f t="shared" si="159"/>
        <v>1</v>
      </c>
      <c r="O291" s="18"/>
      <c r="P291" s="5">
        <v>0</v>
      </c>
      <c r="Q291" s="5">
        <v>0</v>
      </c>
      <c r="R291" s="5">
        <v>0</v>
      </c>
      <c r="S291" s="5">
        <v>3</v>
      </c>
      <c r="T291" s="18"/>
      <c r="U291" s="19" t="b">
        <f t="shared" si="160"/>
        <v>0</v>
      </c>
      <c r="V291" s="4">
        <v>1</v>
      </c>
      <c r="W291" s="19" t="b">
        <f>_xlfn.XOR(V291,U291)</f>
        <v>1</v>
      </c>
    </row>
    <row r="292" spans="2:25" ht="13"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5">
        <v>0</v>
      </c>
      <c r="Q292" s="5">
        <v>0</v>
      </c>
      <c r="R292" s="5">
        <v>0</v>
      </c>
      <c r="S292" s="5">
        <v>3</v>
      </c>
      <c r="T292" s="18"/>
      <c r="U292" s="19" t="b">
        <f t="shared" si="160"/>
        <v>0</v>
      </c>
      <c r="V292" s="4">
        <v>0</v>
      </c>
      <c r="W292" s="19" t="b">
        <f>_xlfn.XOR(V292,U292)</f>
        <v>0</v>
      </c>
    </row>
    <row r="293" spans="2:25" ht="13">
      <c r="B293" s="18"/>
      <c r="C293" s="18"/>
      <c r="D293" s="18"/>
      <c r="E293" s="1" t="s">
        <v>146</v>
      </c>
      <c r="F293" s="18"/>
      <c r="G293" s="18" t="s">
        <v>55</v>
      </c>
      <c r="H293" s="18"/>
      <c r="I293" s="18"/>
      <c r="J293" s="18"/>
      <c r="K293" s="18"/>
      <c r="L293" s="1" t="s">
        <v>141</v>
      </c>
      <c r="M293" s="18"/>
      <c r="N293" s="18" t="s">
        <v>142</v>
      </c>
      <c r="O293" s="18"/>
      <c r="P293" s="18"/>
      <c r="Q293" s="18"/>
      <c r="R293" s="18"/>
      <c r="S293" s="18"/>
      <c r="T293" s="18"/>
      <c r="U293" s="18" t="s">
        <v>133</v>
      </c>
      <c r="V293" s="18"/>
      <c r="W293" s="18" t="s">
        <v>138</v>
      </c>
    </row>
    <row r="294" spans="2:25" ht="13">
      <c r="B294" s="19" t="b">
        <f>_xlfn.XOR(B289,B287)</f>
        <v>1</v>
      </c>
      <c r="C294" s="19" t="b">
        <f>_xlfn.XOR(C289,C287)</f>
        <v>0</v>
      </c>
      <c r="D294" s="19" t="b">
        <f>_xlfn.XOR(D289,D287)</f>
        <v>1</v>
      </c>
      <c r="E294">
        <f t="shared" ref="E294:E295" si="161">IF(G294,IF(G289,1,-1),0)</f>
        <v>-1</v>
      </c>
      <c r="F294" s="18"/>
      <c r="G294" s="19" t="b">
        <f>OR(I298:I300)</f>
        <v>1</v>
      </c>
      <c r="H294" s="18"/>
      <c r="I294" s="19" t="b">
        <f>_xlfn.XOR($G$14,I289)</f>
        <v>1</v>
      </c>
      <c r="J294" s="19" t="b">
        <f>_xlfn.XOR($G$15,J289)</f>
        <v>0</v>
      </c>
      <c r="K294" s="18"/>
      <c r="L294">
        <f t="shared" ref="L294:L296" si="162">IF(N294,IF(N289,1,-1),0)</f>
        <v>1</v>
      </c>
      <c r="M294" s="18"/>
      <c r="N294" s="19" t="b">
        <f t="shared" ref="N294:N296" si="163">OR(W294:W297)</f>
        <v>1</v>
      </c>
      <c r="O294" s="18"/>
      <c r="P294" s="19" t="b">
        <f>_xlfn.XOR($N$14,P289)</f>
        <v>0</v>
      </c>
      <c r="Q294" s="19" t="b">
        <f>_xlfn.XOR($N$15,Q289)</f>
        <v>1</v>
      </c>
      <c r="R294" s="19" t="b">
        <f>_xlfn.XOR($N$16,R289)</f>
        <v>0</v>
      </c>
      <c r="S294" s="18"/>
      <c r="T294" s="18"/>
      <c r="U294" s="5">
        <f t="shared" ref="U294:U297" si="164">IF(W289,IF(V289,1,-1),0)</f>
        <v>1</v>
      </c>
      <c r="V294" s="18"/>
      <c r="W294" s="19" t="b">
        <f t="shared" ref="W294:Y297" si="165">AND($W289,(_xlfn.XOR(P294,NOT($U289))))</f>
        <v>1</v>
      </c>
      <c r="X294" t="b">
        <f t="shared" si="165"/>
        <v>0</v>
      </c>
      <c r="Y294" t="b">
        <f t="shared" si="165"/>
        <v>1</v>
      </c>
    </row>
    <row r="295" spans="2:25" ht="13">
      <c r="B295" s="19" t="b">
        <f>_xlfn.XOR(B290,B287)</f>
        <v>0</v>
      </c>
      <c r="C295" s="19" t="b">
        <f>_xlfn.XOR(C290,C287)</f>
        <v>0</v>
      </c>
      <c r="D295" s="19" t="b">
        <f>_xlfn.XOR(D290,D287)</f>
        <v>1</v>
      </c>
      <c r="E295">
        <f t="shared" si="161"/>
        <v>0</v>
      </c>
      <c r="F295" s="18"/>
      <c r="G295" s="19" t="b">
        <f>OR(J298:J300)</f>
        <v>0</v>
      </c>
      <c r="H295" s="18"/>
      <c r="I295" s="19" t="b">
        <f>_xlfn.XOR($G$14,I290)</f>
        <v>1</v>
      </c>
      <c r="J295" s="19" t="b">
        <f>_xlfn.XOR($G$15,J290)</f>
        <v>0</v>
      </c>
      <c r="K295" s="18"/>
      <c r="L295">
        <f t="shared" si="162"/>
        <v>1</v>
      </c>
      <c r="M295" s="18"/>
      <c r="N295" s="19" t="b">
        <f t="shared" si="163"/>
        <v>1</v>
      </c>
      <c r="O295" s="18"/>
      <c r="P295" s="19" t="b">
        <f>_xlfn.XOR($N$14,P290)</f>
        <v>1</v>
      </c>
      <c r="Q295" s="19" t="b">
        <f>_xlfn.XOR($N$15,Q290)</f>
        <v>0</v>
      </c>
      <c r="R295" s="19" t="b">
        <f>_xlfn.XOR($N$16,R290)</f>
        <v>0</v>
      </c>
      <c r="S295" s="18"/>
      <c r="T295" s="18"/>
      <c r="U295" s="5">
        <f t="shared" si="164"/>
        <v>1</v>
      </c>
      <c r="V295" s="18"/>
      <c r="W295" s="19" t="b">
        <f t="shared" si="165"/>
        <v>0</v>
      </c>
      <c r="X295" t="b">
        <f t="shared" si="165"/>
        <v>1</v>
      </c>
      <c r="Y295" t="b">
        <f t="shared" si="165"/>
        <v>1</v>
      </c>
    </row>
    <row r="296" spans="2:25" ht="13">
      <c r="B296" s="18"/>
      <c r="C296" s="18"/>
      <c r="D296" s="18"/>
      <c r="E296" s="18"/>
      <c r="F296" s="18"/>
      <c r="G296" s="18"/>
      <c r="H296" s="18"/>
      <c r="I296" s="19" t="b">
        <f>_xlfn.XOR($G$14,I291)</f>
        <v>1</v>
      </c>
      <c r="J296" s="19" t="b">
        <f>_xlfn.XOR($G$15,J291)</f>
        <v>0</v>
      </c>
      <c r="K296" s="18"/>
      <c r="L296">
        <f t="shared" si="162"/>
        <v>1</v>
      </c>
      <c r="M296" s="18"/>
      <c r="N296" s="19" t="b">
        <f t="shared" si="163"/>
        <v>1</v>
      </c>
      <c r="O296" s="18"/>
      <c r="P296" s="19" t="b">
        <f>_xlfn.XOR($N$14,P291)</f>
        <v>0</v>
      </c>
      <c r="Q296" s="19" t="b">
        <f>_xlfn.XOR($N$15,Q291)</f>
        <v>0</v>
      </c>
      <c r="R296" s="19" t="b">
        <f>_xlfn.XOR($N$16,R291)</f>
        <v>0</v>
      </c>
      <c r="S296" s="18"/>
      <c r="T296" s="18"/>
      <c r="U296" s="5">
        <f t="shared" si="164"/>
        <v>1</v>
      </c>
      <c r="V296" s="18"/>
      <c r="W296" s="19" t="b">
        <f t="shared" si="165"/>
        <v>1</v>
      </c>
      <c r="X296" t="b">
        <f t="shared" si="165"/>
        <v>1</v>
      </c>
      <c r="Y296" t="b">
        <f t="shared" si="165"/>
        <v>1</v>
      </c>
    </row>
    <row r="297" spans="2:25" ht="13">
      <c r="B297" s="18" t="s">
        <v>149</v>
      </c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9" t="b">
        <f>_xlfn.XOR($N$14,P292)</f>
        <v>0</v>
      </c>
      <c r="Q297" s="19" t="b">
        <f>_xlfn.XOR($N$15,Q292)</f>
        <v>0</v>
      </c>
      <c r="R297" s="19" t="b">
        <f>_xlfn.XOR($N$16,R292)</f>
        <v>0</v>
      </c>
      <c r="S297" s="18"/>
      <c r="T297" s="18"/>
      <c r="U297" s="5">
        <f t="shared" si="164"/>
        <v>0</v>
      </c>
      <c r="V297" s="18"/>
      <c r="W297" s="19" t="b">
        <f t="shared" si="165"/>
        <v>0</v>
      </c>
      <c r="X297" t="b">
        <f t="shared" si="165"/>
        <v>0</v>
      </c>
      <c r="Y297" t="b">
        <f t="shared" si="165"/>
        <v>0</v>
      </c>
    </row>
    <row r="298" spans="2:25" ht="13">
      <c r="B298" s="19" t="b">
        <f t="shared" ref="B298:D299" si="166">AND($G294,(_xlfn.XOR(B294,NOT($G289))))</f>
        <v>0</v>
      </c>
      <c r="C298" s="19" t="b">
        <f t="shared" si="166"/>
        <v>1</v>
      </c>
      <c r="D298" s="19" t="b">
        <f t="shared" si="166"/>
        <v>0</v>
      </c>
      <c r="E298" s="18"/>
      <c r="F298" s="18"/>
      <c r="G298" s="18"/>
      <c r="H298" s="18" t="s">
        <v>144</v>
      </c>
      <c r="I298" s="19" t="b">
        <f t="shared" ref="I298:J300" si="167">AND($N294,(_xlfn.XOR(I294,NOT($N289))))</f>
        <v>1</v>
      </c>
      <c r="J298" s="19" t="b">
        <f t="shared" si="167"/>
        <v>0</v>
      </c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</row>
    <row r="299" spans="2:25" ht="13">
      <c r="B299" s="19" t="b">
        <f t="shared" si="166"/>
        <v>0</v>
      </c>
      <c r="C299" s="19" t="b">
        <f t="shared" si="166"/>
        <v>0</v>
      </c>
      <c r="D299" s="19" t="b">
        <f t="shared" si="166"/>
        <v>0</v>
      </c>
      <c r="E299" s="1" t="s">
        <v>176</v>
      </c>
      <c r="F299" s="18"/>
      <c r="G299" s="18"/>
      <c r="H299" s="18"/>
      <c r="I299" s="19" t="b">
        <f t="shared" si="167"/>
        <v>1</v>
      </c>
      <c r="J299" s="19" t="b">
        <f t="shared" si="167"/>
        <v>0</v>
      </c>
      <c r="K299" s="18"/>
      <c r="M299" s="18"/>
      <c r="N299" s="18"/>
      <c r="O299" s="18"/>
      <c r="P299" s="18"/>
      <c r="Q299" s="18"/>
      <c r="R299" s="18"/>
      <c r="S299" s="18"/>
      <c r="T299" s="1" t="s">
        <v>140</v>
      </c>
      <c r="U299" s="18"/>
      <c r="V299" s="18"/>
      <c r="W299" s="18"/>
    </row>
    <row r="300" spans="2:25" ht="13">
      <c r="B300" s="18"/>
      <c r="C300" s="18"/>
      <c r="D300" s="18"/>
      <c r="E300" s="18"/>
      <c r="F300" s="18"/>
      <c r="G300" s="18"/>
      <c r="H300" s="18"/>
      <c r="I300" s="19" t="b">
        <f t="shared" si="167"/>
        <v>1</v>
      </c>
      <c r="J300" s="19" t="b">
        <f t="shared" si="167"/>
        <v>0</v>
      </c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</row>
    <row r="302" spans="2:25" ht="13">
      <c r="B302" s="4">
        <v>1</v>
      </c>
      <c r="C302" s="4">
        <v>0</v>
      </c>
      <c r="D302" s="4">
        <v>0</v>
      </c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</row>
    <row r="303" spans="2:25" ht="13">
      <c r="B303" s="37" t="s">
        <v>25</v>
      </c>
      <c r="C303" s="38"/>
      <c r="D303" s="38"/>
      <c r="E303" s="18" t="s">
        <v>24</v>
      </c>
      <c r="F303" s="18"/>
      <c r="G303" s="18" t="s">
        <v>127</v>
      </c>
      <c r="H303" s="18"/>
      <c r="I303" s="37" t="s">
        <v>23</v>
      </c>
      <c r="J303" s="38"/>
      <c r="K303" s="38"/>
      <c r="L303" s="18" t="s">
        <v>22</v>
      </c>
      <c r="M303" s="18"/>
      <c r="N303" s="18" t="s">
        <v>128</v>
      </c>
      <c r="O303" s="18"/>
      <c r="P303" s="37" t="s">
        <v>36</v>
      </c>
      <c r="Q303" s="38"/>
      <c r="R303" s="38"/>
      <c r="S303" s="18" t="s">
        <v>35</v>
      </c>
      <c r="T303" s="18"/>
      <c r="U303" s="18" t="s">
        <v>129</v>
      </c>
      <c r="V303" s="18" t="s">
        <v>130</v>
      </c>
      <c r="W303" s="18" t="s">
        <v>95</v>
      </c>
    </row>
    <row r="304" spans="2:25" ht="13">
      <c r="B304" s="5">
        <v>1</v>
      </c>
      <c r="C304" s="4">
        <v>1</v>
      </c>
      <c r="D304" s="4">
        <v>0</v>
      </c>
      <c r="E304" s="4">
        <v>3</v>
      </c>
      <c r="F304" s="18"/>
      <c r="G304" s="19" t="b">
        <f t="shared" ref="G304:G305" si="168">COUNTIF(B309:D309, TRUE)&gt;=E304</f>
        <v>0</v>
      </c>
      <c r="H304" s="18"/>
      <c r="I304" s="5">
        <v>1</v>
      </c>
      <c r="J304" s="5">
        <v>0</v>
      </c>
      <c r="K304" s="18"/>
      <c r="L304" s="5">
        <v>1</v>
      </c>
      <c r="M304" s="18"/>
      <c r="N304" s="19" t="b">
        <f t="shared" ref="N304:N306" si="169">COUNTIF(I309:J309, TRUE)&gt;=L304</f>
        <v>1</v>
      </c>
      <c r="O304" s="18"/>
      <c r="P304" s="5">
        <v>0</v>
      </c>
      <c r="Q304" s="4">
        <v>1</v>
      </c>
      <c r="R304" s="5">
        <v>0</v>
      </c>
      <c r="S304" s="5">
        <v>3</v>
      </c>
      <c r="T304" s="18"/>
      <c r="U304" s="19" t="b">
        <f t="shared" ref="U304:U307" si="170">COUNTIF(P309:R309, TRUE)&gt;=S304</f>
        <v>0</v>
      </c>
      <c r="V304" s="4">
        <v>0</v>
      </c>
      <c r="W304" s="19" t="b">
        <f>_xlfn.XOR(V304,U304)</f>
        <v>0</v>
      </c>
    </row>
    <row r="305" spans="2:25" ht="13">
      <c r="B305" s="5">
        <v>0</v>
      </c>
      <c r="C305" s="4">
        <v>1</v>
      </c>
      <c r="D305" s="4">
        <v>0</v>
      </c>
      <c r="E305" s="4">
        <v>2</v>
      </c>
      <c r="F305" s="18"/>
      <c r="G305" s="19" t="b">
        <f t="shared" si="168"/>
        <v>1</v>
      </c>
      <c r="H305" s="18"/>
      <c r="I305" s="5">
        <v>1</v>
      </c>
      <c r="J305" s="4">
        <v>0</v>
      </c>
      <c r="K305" s="18"/>
      <c r="L305" s="5">
        <f>L290+L295</f>
        <v>2</v>
      </c>
      <c r="M305" s="18"/>
      <c r="N305" s="19" t="b">
        <f t="shared" si="169"/>
        <v>0</v>
      </c>
      <c r="O305" s="18"/>
      <c r="P305" s="4">
        <v>0</v>
      </c>
      <c r="Q305" s="5">
        <v>0</v>
      </c>
      <c r="R305" s="5">
        <v>0</v>
      </c>
      <c r="S305" s="5">
        <v>3</v>
      </c>
      <c r="T305" s="18"/>
      <c r="U305" s="19" t="b">
        <f t="shared" si="170"/>
        <v>0</v>
      </c>
      <c r="V305" s="4">
        <v>1</v>
      </c>
      <c r="W305" s="19" t="b">
        <f>_xlfn.XOR(V305,U305)</f>
        <v>1</v>
      </c>
    </row>
    <row r="306" spans="2:25" ht="13">
      <c r="B306" s="18"/>
      <c r="C306" s="18"/>
      <c r="D306" s="18"/>
      <c r="E306" s="18"/>
      <c r="F306" s="18"/>
      <c r="G306" s="18"/>
      <c r="H306" s="18"/>
      <c r="I306" s="5">
        <v>1</v>
      </c>
      <c r="J306" s="4">
        <v>0</v>
      </c>
      <c r="K306" s="18"/>
      <c r="L306" s="4">
        <v>1</v>
      </c>
      <c r="M306" s="18"/>
      <c r="N306" s="19" t="b">
        <f t="shared" si="169"/>
        <v>1</v>
      </c>
      <c r="O306" s="18"/>
      <c r="P306" s="5">
        <v>0</v>
      </c>
      <c r="Q306" s="5">
        <v>0</v>
      </c>
      <c r="R306" s="5">
        <v>0</v>
      </c>
      <c r="S306" s="5">
        <v>3</v>
      </c>
      <c r="T306" s="18"/>
      <c r="U306" s="19" t="b">
        <f t="shared" si="170"/>
        <v>0</v>
      </c>
      <c r="V306" s="4">
        <v>1</v>
      </c>
      <c r="W306" s="19" t="b">
        <f>_xlfn.XOR(V306,U306)</f>
        <v>1</v>
      </c>
    </row>
    <row r="307" spans="2:25" ht="13"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5">
        <v>0</v>
      </c>
      <c r="Q307" s="5">
        <v>0</v>
      </c>
      <c r="R307" s="5">
        <v>0</v>
      </c>
      <c r="S307" s="5">
        <v>3</v>
      </c>
      <c r="T307" s="18"/>
      <c r="U307" s="19" t="b">
        <f t="shared" si="170"/>
        <v>0</v>
      </c>
      <c r="V307" s="4">
        <v>0</v>
      </c>
      <c r="W307" s="19" t="b">
        <f>_xlfn.XOR(V307,U307)</f>
        <v>0</v>
      </c>
    </row>
    <row r="308" spans="2:25" ht="13">
      <c r="B308" s="18"/>
      <c r="C308" s="18"/>
      <c r="D308" s="18"/>
      <c r="E308" s="1" t="s">
        <v>146</v>
      </c>
      <c r="F308" s="18"/>
      <c r="G308" s="18" t="s">
        <v>55</v>
      </c>
      <c r="H308" s="18"/>
      <c r="I308" s="18"/>
      <c r="J308" s="18"/>
      <c r="K308" s="18"/>
      <c r="L308" s="1" t="s">
        <v>141</v>
      </c>
      <c r="M308" s="18"/>
      <c r="N308" s="18" t="s">
        <v>142</v>
      </c>
      <c r="O308" s="18"/>
      <c r="P308" s="18"/>
      <c r="Q308" s="18"/>
      <c r="R308" s="18"/>
      <c r="S308" s="18"/>
      <c r="T308" s="18"/>
      <c r="U308" s="18" t="s">
        <v>133</v>
      </c>
      <c r="V308" s="18"/>
      <c r="W308" s="18" t="s">
        <v>138</v>
      </c>
    </row>
    <row r="309" spans="2:25" ht="13">
      <c r="B309" s="19" t="b">
        <f>_xlfn.XOR(B304,B302)</f>
        <v>0</v>
      </c>
      <c r="C309" s="19" t="b">
        <f>_xlfn.XOR(C304,C302)</f>
        <v>1</v>
      </c>
      <c r="D309" s="19" t="b">
        <f>_xlfn.XOR(D304,D302)</f>
        <v>0</v>
      </c>
      <c r="E309">
        <f t="shared" ref="E309:E310" si="171">IF(G309,IF(G304,1,-1),0)</f>
        <v>-1</v>
      </c>
      <c r="F309" s="18"/>
      <c r="G309" s="19" t="b">
        <f>OR(I313:I315)</f>
        <v>1</v>
      </c>
      <c r="H309" s="18"/>
      <c r="I309" s="19" t="b">
        <f>_xlfn.XOR($G$14,I304)</f>
        <v>1</v>
      </c>
      <c r="J309" s="19" t="b">
        <f>_xlfn.XOR($G$15,J304)</f>
        <v>0</v>
      </c>
      <c r="K309" s="18"/>
      <c r="L309">
        <f t="shared" ref="L309:L311" si="172">IF(N309,IF(N304,1,-1),0)</f>
        <v>1</v>
      </c>
      <c r="M309" s="18"/>
      <c r="N309" s="19" t="b">
        <f t="shared" ref="N309:N311" si="173">OR(W309:W312)</f>
        <v>1</v>
      </c>
      <c r="O309" s="18"/>
      <c r="P309" s="19" t="b">
        <f>_xlfn.XOR($N$14,P304)</f>
        <v>0</v>
      </c>
      <c r="Q309" s="19" t="b">
        <f>_xlfn.XOR($N$15,Q304)</f>
        <v>1</v>
      </c>
      <c r="R309" s="19" t="b">
        <f>_xlfn.XOR($N$16,R304)</f>
        <v>0</v>
      </c>
      <c r="S309" s="18"/>
      <c r="T309" s="18"/>
      <c r="U309" s="5">
        <f t="shared" ref="U309:U312" si="174">IF(W304,IF(V304,1,-1),0)</f>
        <v>0</v>
      </c>
      <c r="V309" s="18"/>
      <c r="W309" s="19" t="b">
        <f t="shared" ref="W309:Y312" si="175">AND($W304,(_xlfn.XOR(P309,NOT($U304))))</f>
        <v>0</v>
      </c>
      <c r="X309" t="b">
        <f t="shared" si="175"/>
        <v>0</v>
      </c>
      <c r="Y309" t="b">
        <f t="shared" si="175"/>
        <v>0</v>
      </c>
    </row>
    <row r="310" spans="2:25" ht="13">
      <c r="B310" s="19" t="b">
        <f>_xlfn.XOR(B305,B302)</f>
        <v>1</v>
      </c>
      <c r="C310" s="19" t="b">
        <f>_xlfn.XOR(C305,C302)</f>
        <v>1</v>
      </c>
      <c r="D310" s="19" t="b">
        <f>_xlfn.XOR(D305,D302)</f>
        <v>0</v>
      </c>
      <c r="E310">
        <f t="shared" si="171"/>
        <v>1</v>
      </c>
      <c r="F310" s="18"/>
      <c r="G310" s="19" t="b">
        <f>OR(J313:J315)</f>
        <v>1</v>
      </c>
      <c r="H310" s="18"/>
      <c r="I310" s="19" t="b">
        <f>_xlfn.XOR($G$14,I305)</f>
        <v>1</v>
      </c>
      <c r="J310" s="19" t="b">
        <f>_xlfn.XOR($G$15,J305)</f>
        <v>0</v>
      </c>
      <c r="K310" s="18"/>
      <c r="L310">
        <f t="shared" si="172"/>
        <v>-1</v>
      </c>
      <c r="M310" s="18"/>
      <c r="N310" s="19" t="b">
        <f t="shared" si="173"/>
        <v>1</v>
      </c>
      <c r="O310" s="18"/>
      <c r="P310" s="19" t="b">
        <f>_xlfn.XOR($N$14,P305)</f>
        <v>0</v>
      </c>
      <c r="Q310" s="19" t="b">
        <f>_xlfn.XOR($N$15,Q305)</f>
        <v>0</v>
      </c>
      <c r="R310" s="19" t="b">
        <f>_xlfn.XOR($N$16,R305)</f>
        <v>0</v>
      </c>
      <c r="S310" s="18"/>
      <c r="T310" s="18"/>
      <c r="U310" s="5">
        <f t="shared" si="174"/>
        <v>1</v>
      </c>
      <c r="V310" s="18"/>
      <c r="W310" s="19" t="b">
        <f t="shared" si="175"/>
        <v>1</v>
      </c>
      <c r="X310" t="b">
        <f t="shared" si="175"/>
        <v>1</v>
      </c>
      <c r="Y310" t="b">
        <f t="shared" si="175"/>
        <v>1</v>
      </c>
    </row>
    <row r="311" spans="2:25" ht="13">
      <c r="B311" s="18"/>
      <c r="C311" s="18"/>
      <c r="D311" s="18"/>
      <c r="E311" s="18"/>
      <c r="F311" s="18"/>
      <c r="G311" s="18"/>
      <c r="H311" s="18"/>
      <c r="I311" s="19" t="b">
        <f>_xlfn.XOR($G$14,I306)</f>
        <v>1</v>
      </c>
      <c r="J311" s="19" t="b">
        <f>_xlfn.XOR($G$15,J306)</f>
        <v>0</v>
      </c>
      <c r="K311" s="18"/>
      <c r="L311">
        <f t="shared" si="172"/>
        <v>1</v>
      </c>
      <c r="M311" s="18"/>
      <c r="N311" s="19" t="b">
        <f t="shared" si="173"/>
        <v>1</v>
      </c>
      <c r="O311" s="18"/>
      <c r="P311" s="19" t="b">
        <f>_xlfn.XOR($N$14,P306)</f>
        <v>0</v>
      </c>
      <c r="Q311" s="19" t="b">
        <f>_xlfn.XOR($N$15,Q306)</f>
        <v>0</v>
      </c>
      <c r="R311" s="19" t="b">
        <f>_xlfn.XOR($N$16,R306)</f>
        <v>0</v>
      </c>
      <c r="S311" s="18"/>
      <c r="T311" s="18"/>
      <c r="U311" s="5">
        <f t="shared" si="174"/>
        <v>1</v>
      </c>
      <c r="V311" s="18"/>
      <c r="W311" s="19" t="b">
        <f t="shared" si="175"/>
        <v>1</v>
      </c>
      <c r="X311" t="b">
        <f t="shared" si="175"/>
        <v>1</v>
      </c>
      <c r="Y311" t="b">
        <f t="shared" si="175"/>
        <v>1</v>
      </c>
    </row>
    <row r="312" spans="2:25" ht="13">
      <c r="B312" s="18" t="s">
        <v>149</v>
      </c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9" t="b">
        <f>_xlfn.XOR($N$14,P307)</f>
        <v>0</v>
      </c>
      <c r="Q312" s="19" t="b">
        <f>_xlfn.XOR($N$15,Q307)</f>
        <v>0</v>
      </c>
      <c r="R312" s="19" t="b">
        <f>_xlfn.XOR($N$16,R307)</f>
        <v>0</v>
      </c>
      <c r="S312" s="18"/>
      <c r="T312" s="18"/>
      <c r="U312" s="5">
        <f t="shared" si="174"/>
        <v>0</v>
      </c>
      <c r="V312" s="18"/>
      <c r="W312" s="19" t="b">
        <f t="shared" si="175"/>
        <v>0</v>
      </c>
      <c r="X312" t="b">
        <f t="shared" si="175"/>
        <v>0</v>
      </c>
      <c r="Y312" t="b">
        <f t="shared" si="175"/>
        <v>0</v>
      </c>
    </row>
    <row r="313" spans="2:25" ht="13">
      <c r="B313" s="19" t="b">
        <f t="shared" ref="B313:D314" si="176">AND($G309,(_xlfn.XOR(B309,NOT($G304))))</f>
        <v>1</v>
      </c>
      <c r="C313" s="19" t="b">
        <f t="shared" si="176"/>
        <v>0</v>
      </c>
      <c r="D313" s="19" t="b">
        <f t="shared" si="176"/>
        <v>1</v>
      </c>
      <c r="E313" s="18"/>
      <c r="F313" s="18"/>
      <c r="G313" s="18"/>
      <c r="H313" s="18" t="s">
        <v>144</v>
      </c>
      <c r="I313" s="19" t="b">
        <f t="shared" ref="I313:J315" si="177">AND($N309,(_xlfn.XOR(I309,NOT($N304))))</f>
        <v>1</v>
      </c>
      <c r="J313" s="19" t="b">
        <f t="shared" si="177"/>
        <v>0</v>
      </c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</row>
    <row r="314" spans="2:25" ht="13">
      <c r="B314" s="19" t="b">
        <f t="shared" si="176"/>
        <v>1</v>
      </c>
      <c r="C314" s="19" t="b">
        <f t="shared" si="176"/>
        <v>1</v>
      </c>
      <c r="D314" s="19" t="b">
        <f t="shared" si="176"/>
        <v>0</v>
      </c>
      <c r="E314" s="1" t="s">
        <v>176</v>
      </c>
      <c r="F314" s="18"/>
      <c r="G314" s="18"/>
      <c r="H314" s="18"/>
      <c r="I314" s="19" t="b">
        <f t="shared" si="177"/>
        <v>0</v>
      </c>
      <c r="J314" s="19" t="b">
        <f t="shared" si="177"/>
        <v>1</v>
      </c>
      <c r="K314" s="18"/>
      <c r="M314" s="18"/>
      <c r="N314" s="18"/>
      <c r="O314" s="18"/>
      <c r="P314" s="18"/>
      <c r="Q314" s="18"/>
      <c r="R314" s="18"/>
      <c r="S314" s="18"/>
      <c r="U314" s="18"/>
      <c r="V314" s="18"/>
      <c r="W314" s="18"/>
    </row>
    <row r="315" spans="2:25" ht="13">
      <c r="B315" s="18"/>
      <c r="C315" s="18"/>
      <c r="D315" s="18"/>
      <c r="E315" s="18"/>
      <c r="F315" s="18"/>
      <c r="G315" s="18"/>
      <c r="H315" s="18"/>
      <c r="I315" s="19" t="b">
        <f t="shared" si="177"/>
        <v>1</v>
      </c>
      <c r="J315" s="19" t="b">
        <f t="shared" si="177"/>
        <v>0</v>
      </c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</row>
  </sheetData>
  <mergeCells count="63">
    <mergeCell ref="P213:R213"/>
    <mergeCell ref="P198:R198"/>
    <mergeCell ref="P243:R243"/>
    <mergeCell ref="P228:R228"/>
    <mergeCell ref="P78:R78"/>
    <mergeCell ref="I198:K198"/>
    <mergeCell ref="I183:K183"/>
    <mergeCell ref="P93:R93"/>
    <mergeCell ref="I93:K93"/>
    <mergeCell ref="P123:R123"/>
    <mergeCell ref="P108:R108"/>
    <mergeCell ref="I78:K78"/>
    <mergeCell ref="P49:R49"/>
    <mergeCell ref="P63:R63"/>
    <mergeCell ref="P183:R183"/>
    <mergeCell ref="I123:K123"/>
    <mergeCell ref="I153:K153"/>
    <mergeCell ref="I13:K13"/>
    <mergeCell ref="P13:R13"/>
    <mergeCell ref="I37:K37"/>
    <mergeCell ref="B13:D13"/>
    <mergeCell ref="B25:D25"/>
    <mergeCell ref="I25:K25"/>
    <mergeCell ref="B37:D37"/>
    <mergeCell ref="P37:R37"/>
    <mergeCell ref="B49:D49"/>
    <mergeCell ref="P25:R25"/>
    <mergeCell ref="I258:K258"/>
    <mergeCell ref="B258:D258"/>
    <mergeCell ref="P258:R258"/>
    <mergeCell ref="B123:D123"/>
    <mergeCell ref="B108:D108"/>
    <mergeCell ref="B228:D228"/>
    <mergeCell ref="B243:D243"/>
    <mergeCell ref="B198:D198"/>
    <mergeCell ref="B78:D78"/>
    <mergeCell ref="B93:D93"/>
    <mergeCell ref="B63:D63"/>
    <mergeCell ref="I49:K49"/>
    <mergeCell ref="I108:K108"/>
    <mergeCell ref="I63:K63"/>
    <mergeCell ref="B288:D288"/>
    <mergeCell ref="B303:D303"/>
    <mergeCell ref="I303:K303"/>
    <mergeCell ref="P288:R288"/>
    <mergeCell ref="P303:R303"/>
    <mergeCell ref="I288:K288"/>
    <mergeCell ref="B273:D273"/>
    <mergeCell ref="I273:K273"/>
    <mergeCell ref="P273:R273"/>
    <mergeCell ref="P168:R168"/>
    <mergeCell ref="P138:R138"/>
    <mergeCell ref="I138:K138"/>
    <mergeCell ref="B138:D138"/>
    <mergeCell ref="P153:R153"/>
    <mergeCell ref="B153:D153"/>
    <mergeCell ref="I168:K168"/>
    <mergeCell ref="B168:D168"/>
    <mergeCell ref="B183:D183"/>
    <mergeCell ref="I213:K213"/>
    <mergeCell ref="B213:D213"/>
    <mergeCell ref="I243:K243"/>
    <mergeCell ref="I228:K22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XOR-Example</vt:lpstr>
      <vt:lpstr>Example-2</vt:lpstr>
      <vt:lpstr>Example-3</vt:lpstr>
      <vt:lpstr>PatternData</vt:lpstr>
      <vt:lpstr>Extras</vt:lpstr>
      <vt:lpstr>Example-InProgress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Raul Horacio Valencia Tenorio</cp:lastModifiedBy>
  <dcterms:created xsi:type="dcterms:W3CDTF">2018-10-06T22:04:51Z</dcterms:created>
  <dcterms:modified xsi:type="dcterms:W3CDTF">2018-11-12T10:48:21Z</dcterms:modified>
</cp:coreProperties>
</file>